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artment Tracker" sheetId="1" r:id="rId5"/>
    <sheet state="visible" name="Shortlist Comparison" sheetId="2" r:id="rId6"/>
  </sheets>
  <definedNames/>
  <calcPr/>
</workbook>
</file>

<file path=xl/sharedStrings.xml><?xml version="1.0" encoding="utf-8"?>
<sst xmlns="http://schemas.openxmlformats.org/spreadsheetml/2006/main" count="144" uniqueCount="75">
  <si>
    <t>Monthly budget limit (₹)</t>
  </si>
  <si>
    <t>Shortlisted apartments</t>
  </si>
  <si>
    <t>Total monthly cost turns red above this limit. Change the number in B1 any time.</t>
  </si>
  <si>
    <t>Society / building name</t>
  </si>
  <si>
    <t>Location / area</t>
  </si>
  <si>
    <t>Apartment type</t>
  </si>
  <si>
    <t>Status</t>
  </si>
  <si>
    <t>Broker name</t>
  </si>
  <si>
    <t>Broker contact</t>
  </si>
  <si>
    <t>Rent (₹/month)</t>
  </si>
  <si>
    <t>Maintenance (₹/month)</t>
  </si>
  <si>
    <t>Total monthly cost (₹)</t>
  </si>
  <si>
    <t>Deposit (₹)</t>
  </si>
  <si>
    <t>Brokerage fee (₹)</t>
  </si>
  <si>
    <t>Area (sq ft)</t>
  </si>
  <si>
    <t>Row in tracker (auto)</t>
  </si>
  <si>
    <t>Floor / total floors</t>
  </si>
  <si>
    <t>Furnishing</t>
  </si>
  <si>
    <t>Parking</t>
  </si>
  <si>
    <t>Lift</t>
  </si>
  <si>
    <t>Available from</t>
  </si>
  <si>
    <t>Distance from workplace (km)</t>
  </si>
  <si>
    <t>Safety (1-5)</t>
  </si>
  <si>
    <t>Water supply (1-5)</t>
  </si>
  <si>
    <t>Location (1-5)</t>
  </si>
  <si>
    <t>Condition (1-5)</t>
  </si>
  <si>
    <t>Natural light (1-5)</t>
  </si>
  <si>
    <t>Overall rating (1-5)</t>
  </si>
  <si>
    <t>Pros</t>
  </si>
  <si>
    <t>Cons</t>
  </si>
  <si>
    <t>Photos link</t>
  </si>
  <si>
    <t>Shortlist # (auto)</t>
  </si>
  <si>
    <t>Kavisha AER</t>
  </si>
  <si>
    <t>Shela</t>
  </si>
  <si>
    <t>2BHK</t>
  </si>
  <si>
    <t>To call</t>
  </si>
  <si>
    <t>Sunil Rathore</t>
  </si>
  <si>
    <t>6352591294</t>
  </si>
  <si>
    <t>Semi-furnished</t>
  </si>
  <si>
    <t>Yes</t>
  </si>
  <si>
    <t>Price is negotiable; closer to office; prime location</t>
  </si>
  <si>
    <t>Samyaka Apartment</t>
  </si>
  <si>
    <t>Vejalpur</t>
  </si>
  <si>
    <t>Fully furnished</t>
  </si>
  <si>
    <t>No pets allowed; only family allowed</t>
  </si>
  <si>
    <t>To ask</t>
  </si>
  <si>
    <t>20th October</t>
  </si>
  <si>
    <t>Turquoise Blu</t>
  </si>
  <si>
    <t>Gym; Garden; Grocery store below</t>
  </si>
  <si>
    <t>Expensive</t>
  </si>
  <si>
    <t>Kameshwar</t>
  </si>
  <si>
    <t>9033096145</t>
  </si>
  <si>
    <t>AARYAN GLORIA</t>
  </si>
  <si>
    <t>South Bhopal</t>
  </si>
  <si>
    <t>3BHK</t>
  </si>
  <si>
    <t>RB Realty Solutions</t>
  </si>
  <si>
    <t>9925646455</t>
  </si>
  <si>
    <t>Price is negotiable</t>
  </si>
  <si>
    <t>Ganatra Kamlesh Narbheram</t>
  </si>
  <si>
    <t>7984369394</t>
  </si>
  <si>
    <t>Hardik Bhupendrabhai</t>
  </si>
  <si>
    <t>8128713336</t>
  </si>
  <si>
    <t>Dilip Patel</t>
  </si>
  <si>
    <t>8320987782</t>
  </si>
  <si>
    <t>Mansi Bodakdev</t>
  </si>
  <si>
    <t>9712394555</t>
  </si>
  <si>
    <t>Maher 5</t>
  </si>
  <si>
    <t>RB Realtors</t>
  </si>
  <si>
    <t>9925579097</t>
  </si>
  <si>
    <t>North Enclave</t>
  </si>
  <si>
    <t>Vaishnodevi</t>
  </si>
  <si>
    <t>2 balconies, higher floor, good view</t>
  </si>
  <si>
    <t xml:space="preserve">Suryansh Sanidhya Shivalaya </t>
  </si>
  <si>
    <t>Too far</t>
  </si>
  <si>
    <t>Shows every apartment with Status set to Shortlisted in the tracker, in tracker order. Space for 8.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</si>
</sst>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&quot;₹&quot;#,##0"/>
    <numFmt numFmtId="165" formatCode="&quot;Option &quot;0"/>
    <numFmt numFmtId="166" formatCode="dd-mmm-yyyy"/>
    <numFmt numFmtId="167" formatCode="0.0"/>
  </numFmts>
  <fonts count="7">
    <font>
      <sz val="11.0"/>
      <color theme="1"/>
      <name val="Calibri"/>
      <scheme val="minor"/>
    </font>
    <font>
      <b/>
      <sz val="10.0"/>
      <color theme="1"/>
      <name val="Arial"/>
    </font>
    <font>
      <b/>
      <sz val="10.0"/>
      <color rgb="FF0000FF"/>
      <name val="Arial"/>
    </font>
    <font>
      <i/>
      <sz val="9.0"/>
      <color rgb="FF595959"/>
      <name val="Arial"/>
    </font>
    <font>
      <b/>
      <sz val="10.0"/>
      <color rgb="FFFFFFFF"/>
      <name val="Arial"/>
    </font>
    <font>
      <sz val="10.0"/>
      <color theme="1"/>
      <name val="Arial"/>
    </font>
    <font>
      <u/>
      <sz val="10.0"/>
      <color rgb="FF0000FF"/>
      <name val="Arial"/>
    </font>
  </fonts>
  <fills count="4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F2F2F2"/>
        <bgColor rgb="FFF2F2F2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  <xf borderId="0" fillId="0" fontId="3" numFmtId="0" xfId="0" applyFont="1"/>
    <xf borderId="1" fillId="2" fontId="4" numFmtId="0" xfId="0" applyAlignment="1" applyBorder="1" applyFill="1" applyFont="1">
      <alignment vertical="center"/>
    </xf>
    <xf borderId="1" fillId="2" fontId="4" numFmtId="0" xfId="0" applyAlignment="1" applyBorder="1" applyFill="1" applyFont="1">
      <alignment horizontal="center" shrinkToFit="0" vertical="center" wrapText="1"/>
    </xf>
    <xf borderId="1" fillId="2" fontId="4" numFmtId="165" xfId="0" applyAlignment="1" applyBorder="1" applyFill="1" applyFont="1" applyNumberFormat="1">
      <alignment horizontal="center" vertical="center"/>
    </xf>
    <xf borderId="1" fillId="3" fontId="3" numFmtId="0" xfId="0" applyBorder="1" applyFill="1" applyFont="1"/>
    <xf borderId="1" fillId="0" fontId="5" numFmtId="0" xfId="0" applyAlignment="1" applyBorder="1" applyFont="1">
      <alignment readingOrder="0" vertical="top"/>
    </xf>
    <xf borderId="1" fillId="0" fontId="5" numFmtId="0" xfId="0" applyAlignment="1" applyBorder="1" applyFont="1">
      <alignment horizontal="center" readingOrder="0" vertical="top"/>
    </xf>
    <xf borderId="1" fillId="0" fontId="5" numFmtId="49" xfId="0" applyAlignment="1" applyBorder="1" applyFont="1" applyNumberFormat="1">
      <alignment readingOrder="0" vertical="top"/>
    </xf>
    <xf borderId="1" fillId="3" fontId="3" numFmtId="0" xfId="0" applyAlignment="1" applyBorder="1" applyFill="1" applyFont="1">
      <alignment horizontal="center"/>
    </xf>
    <xf borderId="1" fillId="0" fontId="5" numFmtId="164" xfId="0" applyAlignment="1" applyBorder="1" applyFont="1" applyNumberFormat="1">
      <alignment readingOrder="0" vertical="top"/>
    </xf>
    <xf borderId="1" fillId="3" fontId="5" numFmtId="164" xfId="0" applyAlignment="1" applyBorder="1" applyFill="1" applyFont="1" applyNumberFormat="1">
      <alignment vertical="top"/>
    </xf>
    <xf borderId="1" fillId="0" fontId="5" numFmtId="164" xfId="0" applyAlignment="1" applyBorder="1" applyFont="1" applyNumberFormat="1">
      <alignment vertical="top"/>
    </xf>
    <xf borderId="1" fillId="0" fontId="5" numFmtId="3" xfId="0" applyAlignment="1" applyBorder="1" applyFont="1" applyNumberFormat="1">
      <alignment vertical="top"/>
    </xf>
    <xf borderId="1" fillId="0" fontId="5" numFmtId="49" xfId="0" applyAlignment="1" applyBorder="1" applyFont="1" applyNumberFormat="1">
      <alignment vertical="top"/>
    </xf>
    <xf borderId="1" fillId="0" fontId="5" numFmtId="166" xfId="0" applyAlignment="1" applyBorder="1" applyFont="1" applyNumberFormat="1">
      <alignment vertical="top"/>
    </xf>
    <xf borderId="1" fillId="0" fontId="5" numFmtId="167" xfId="0" applyAlignment="1" applyBorder="1" applyFont="1" applyNumberFormat="1">
      <alignment vertical="top"/>
    </xf>
    <xf borderId="1" fillId="0" fontId="5" numFmtId="0" xfId="0" applyAlignment="1" applyBorder="1" applyFont="1">
      <alignment horizontal="center" vertical="top"/>
    </xf>
    <xf borderId="1" fillId="0" fontId="1" numFmtId="0" xfId="0" applyAlignment="1" applyBorder="1" applyFont="1">
      <alignment shrinkToFit="0" vertical="top" wrapText="1"/>
    </xf>
    <xf borderId="1" fillId="3" fontId="5" numFmtId="167" xfId="0" applyAlignment="1" applyBorder="1" applyFill="1" applyFont="1" applyNumberFormat="1">
      <alignment horizontal="center" vertical="top"/>
    </xf>
    <xf borderId="1" fillId="0" fontId="5" numFmtId="0" xfId="0" applyAlignment="1" applyBorder="1" applyFont="1">
      <alignment readingOrder="0" shrinkToFit="0" vertical="top" wrapText="1"/>
    </xf>
    <xf borderId="1" fillId="0" fontId="5" numFmtId="0" xfId="0" applyAlignment="1" applyBorder="1" applyFont="1">
      <alignment shrinkToFit="0" vertical="top" wrapText="1"/>
    </xf>
    <xf borderId="1" fillId="0" fontId="5" numFmtId="0" xfId="0" applyAlignment="1" applyBorder="1" applyFont="1">
      <alignment vertical="top"/>
    </xf>
    <xf borderId="1" fillId="3" fontId="5" numFmtId="0" xfId="0" applyAlignment="1" applyBorder="1" applyFill="1" applyFont="1">
      <alignment horizontal="center" vertical="top"/>
    </xf>
    <xf borderId="1" fillId="0" fontId="6" numFmtId="0" xfId="0" applyAlignment="1" applyBorder="1" applyFont="1">
      <alignment readingOrder="0" vertical="top"/>
    </xf>
    <xf borderId="1" fillId="0" fontId="5" numFmtId="164" xfId="0" applyAlignment="1" applyBorder="1" applyFont="1" applyNumberFormat="1">
      <alignment horizontal="center" vertical="top"/>
    </xf>
    <xf borderId="1" fillId="0" fontId="5" numFmtId="3" xfId="0" applyAlignment="1" applyBorder="1" applyFont="1" applyNumberFormat="1">
      <alignment horizontal="center" vertical="top"/>
    </xf>
    <xf borderId="1" fillId="0" fontId="5" numFmtId="166" xfId="0" applyAlignment="1" applyBorder="1" applyFont="1" applyNumberFormat="1">
      <alignment horizontal="center" vertical="top"/>
    </xf>
    <xf borderId="1" fillId="0" fontId="5" numFmtId="167" xfId="0" applyAlignment="1" applyBorder="1" applyFont="1" applyNumberFormat="1">
      <alignment horizontal="center" vertical="top"/>
    </xf>
  </cellXfs>
  <cellStyles count="1">
    <cellStyle xfId="0" name="Normal" builtinId="0"/>
  </cellStyles>
  <dxfs count="6">
    <dxf>
      <font>
        <color rgb="FF9C0006"/>
      </font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E7E6E6"/>
          <bgColor rgb="FFE7E6E6"/>
        </patternFill>
      </fill>
      <border/>
    </dxf>
    <dxf>
      <font/>
      <fill>
        <patternFill patternType="solid">
          <fgColor rgb="FFDDEBF7"/>
          <bgColor rgb="FFDDEBF7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C6EFCE"/>
          <bgColor rgb="FFC6EFCE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99acres.com/2-bhk-bedroom-apartment-flat-for-rent-in-north-enclave-vaishnodevi-circle-ahmedabad-north-642-sqft-r1-spid-I92591056" TargetMode="External"/><Relationship Id="rId2" Type="http://schemas.openxmlformats.org/officeDocument/2006/relationships/hyperlink" Target="https://www.99acres.com/2-bhk-bedroom-apartment-flat-for-rent-in-suryansh-sanidhya-shivalaya-sarkhej-ahmedabad-west-1080-sqft-r1-spid-O91090712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28.0"/>
    <col customWidth="1" min="2" max="2" width="18.0"/>
    <col customWidth="1" min="3" max="3" width="12.0"/>
    <col customWidth="1" min="4" max="4" width="16.0"/>
    <col customWidth="1" min="5" max="5" width="26.0"/>
    <col customWidth="1" min="6" max="6" width="15.0"/>
    <col customWidth="1" min="7" max="7" width="14.0"/>
    <col customWidth="1" min="8" max="9" width="16.0"/>
    <col customWidth="1" min="10" max="10" width="13.0"/>
    <col customWidth="1" min="11" max="11" width="14.0"/>
    <col customWidth="1" min="12" max="12" width="11.0"/>
    <col customWidth="1" min="13" max="13" width="13.0"/>
    <col customWidth="1" min="14" max="14" width="16.0"/>
    <col customWidth="1" min="15" max="15" width="10.0"/>
    <col customWidth="1" min="16" max="16" width="8.0"/>
    <col customWidth="1" min="17" max="17" width="14.0"/>
    <col customWidth="1" min="18" max="18" width="16.0"/>
    <col customWidth="1" min="19" max="19" width="9.0"/>
    <col customWidth="1" min="20" max="24" width="10.0"/>
    <col customWidth="1" min="25" max="26" width="40.0"/>
    <col customWidth="1" min="27" max="27" width="30.0"/>
    <col customWidth="1" min="28" max="28" width="11.0"/>
  </cols>
  <sheetData>
    <row r="1">
      <c r="A1" s="1" t="s">
        <v>0</v>
      </c>
      <c r="B1" s="2">
        <v>30000.0</v>
      </c>
      <c r="C1" s="3" t="s">
        <v>2</v>
      </c>
    </row>
    <row r="2" ht="45.0" customHeight="1">
      <c r="A2" s="5" t="s">
        <v>3</v>
      </c>
      <c r="B2" s="5" t="s">
        <v>4</v>
      </c>
      <c r="C2" s="5" t="s">
        <v>5</v>
      </c>
      <c r="D2" s="5" t="s">
        <v>6</v>
      </c>
      <c r="E2" s="5" t="s">
        <v>7</v>
      </c>
      <c r="F2" s="5" t="s">
        <v>8</v>
      </c>
      <c r="G2" s="5" t="s">
        <v>9</v>
      </c>
      <c r="H2" s="5" t="s">
        <v>10</v>
      </c>
      <c r="I2" s="5" t="s">
        <v>11</v>
      </c>
      <c r="J2" s="5" t="s">
        <v>12</v>
      </c>
      <c r="K2" s="5" t="s">
        <v>13</v>
      </c>
      <c r="L2" s="5" t="s">
        <v>14</v>
      </c>
      <c r="M2" s="5" t="s">
        <v>16</v>
      </c>
      <c r="N2" s="5" t="s">
        <v>17</v>
      </c>
      <c r="O2" s="5" t="s">
        <v>18</v>
      </c>
      <c r="P2" s="5" t="s">
        <v>19</v>
      </c>
      <c r="Q2" s="5" t="s">
        <v>20</v>
      </c>
      <c r="R2" s="5" t="s">
        <v>21</v>
      </c>
      <c r="S2" s="5" t="s">
        <v>22</v>
      </c>
      <c r="T2" s="5" t="s">
        <v>23</v>
      </c>
      <c r="U2" s="5" t="s">
        <v>24</v>
      </c>
      <c r="V2" s="5" t="s">
        <v>25</v>
      </c>
      <c r="W2" s="5" t="s">
        <v>26</v>
      </c>
      <c r="X2" s="5" t="s">
        <v>27</v>
      </c>
      <c r="Y2" s="5" t="s">
        <v>28</v>
      </c>
      <c r="Z2" s="5" t="s">
        <v>29</v>
      </c>
      <c r="AA2" s="5" t="s">
        <v>30</v>
      </c>
      <c r="AB2" s="5" t="s">
        <v>31</v>
      </c>
    </row>
    <row r="3">
      <c r="A3" s="8" t="s">
        <v>32</v>
      </c>
      <c r="B3" s="8" t="s">
        <v>33</v>
      </c>
      <c r="C3" s="8" t="s">
        <v>34</v>
      </c>
      <c r="D3" s="9" t="s">
        <v>35</v>
      </c>
      <c r="E3" s="8" t="s">
        <v>36</v>
      </c>
      <c r="F3" s="10" t="s">
        <v>37</v>
      </c>
      <c r="G3" s="12">
        <v>23000.0</v>
      </c>
      <c r="H3" s="12">
        <v>0.0</v>
      </c>
      <c r="I3" s="13">
        <f t="shared" ref="I3:I62" si="1">IF(COUNT(G3:H3)=0,"",SUM(G3:H3))</f>
        <v>23000</v>
      </c>
      <c r="J3" s="14"/>
      <c r="K3" s="14"/>
      <c r="L3" s="15"/>
      <c r="M3" s="16"/>
      <c r="N3" s="8" t="s">
        <v>38</v>
      </c>
      <c r="O3" s="9" t="s">
        <v>39</v>
      </c>
      <c r="P3" s="9" t="s">
        <v>39</v>
      </c>
      <c r="Q3" s="17"/>
      <c r="R3" s="18"/>
      <c r="S3" s="19"/>
      <c r="T3" s="19"/>
      <c r="U3" s="19"/>
      <c r="V3" s="19"/>
      <c r="W3" s="19"/>
      <c r="X3" s="21" t="str">
        <f t="shared" ref="X3:X62" si="2">IF(COUNT(S3:W3)=0,"",AVERAGE(S3:W3))</f>
        <v/>
      </c>
      <c r="Y3" s="22" t="s">
        <v>40</v>
      </c>
      <c r="Z3" s="23"/>
      <c r="AA3" s="24"/>
      <c r="AB3" s="25" t="str">
        <f t="shared" ref="AB3:AB62" si="3">IF(D3="Shortlisted",COUNTIF(D$3:D3,"Shortlisted"),"")</f>
        <v/>
      </c>
    </row>
    <row r="4">
      <c r="A4" s="8" t="s">
        <v>41</v>
      </c>
      <c r="B4" s="8" t="s">
        <v>42</v>
      </c>
      <c r="C4" s="8" t="s">
        <v>34</v>
      </c>
      <c r="D4" s="9" t="s">
        <v>35</v>
      </c>
      <c r="E4" s="8" t="s">
        <v>36</v>
      </c>
      <c r="F4" s="10" t="s">
        <v>37</v>
      </c>
      <c r="G4" s="12">
        <v>30000.0</v>
      </c>
      <c r="H4" s="14"/>
      <c r="I4" s="13">
        <f t="shared" si="1"/>
        <v>30000</v>
      </c>
      <c r="J4" s="14"/>
      <c r="K4" s="14"/>
      <c r="L4" s="15"/>
      <c r="M4" s="16"/>
      <c r="N4" s="8" t="s">
        <v>43</v>
      </c>
      <c r="O4" s="19"/>
      <c r="P4" s="19"/>
      <c r="Q4" s="17"/>
      <c r="R4" s="18"/>
      <c r="S4" s="19"/>
      <c r="T4" s="19"/>
      <c r="U4" s="19"/>
      <c r="V4" s="19"/>
      <c r="W4" s="19"/>
      <c r="X4" s="21" t="str">
        <f t="shared" si="2"/>
        <v/>
      </c>
      <c r="Y4" s="23"/>
      <c r="Z4" s="22" t="s">
        <v>44</v>
      </c>
      <c r="AA4" s="24"/>
      <c r="AB4" s="25" t="str">
        <f t="shared" si="3"/>
        <v/>
      </c>
    </row>
    <row r="5">
      <c r="A5" s="8" t="s">
        <v>45</v>
      </c>
      <c r="B5" s="8" t="s">
        <v>42</v>
      </c>
      <c r="C5" s="8" t="s">
        <v>34</v>
      </c>
      <c r="D5" s="9" t="s">
        <v>35</v>
      </c>
      <c r="E5" s="8" t="s">
        <v>36</v>
      </c>
      <c r="F5" s="10" t="s">
        <v>37</v>
      </c>
      <c r="G5" s="12">
        <v>30000.0</v>
      </c>
      <c r="H5" s="14"/>
      <c r="I5" s="13">
        <f t="shared" si="1"/>
        <v>30000</v>
      </c>
      <c r="J5" s="14"/>
      <c r="K5" s="14"/>
      <c r="L5" s="15"/>
      <c r="M5" s="16"/>
      <c r="N5" s="8" t="s">
        <v>43</v>
      </c>
      <c r="O5" s="9" t="s">
        <v>39</v>
      </c>
      <c r="P5" s="9" t="s">
        <v>39</v>
      </c>
      <c r="Q5" s="8" t="s">
        <v>46</v>
      </c>
      <c r="R5" s="18"/>
      <c r="S5" s="19"/>
      <c r="T5" s="19"/>
      <c r="U5" s="19"/>
      <c r="V5" s="19"/>
      <c r="W5" s="19"/>
      <c r="X5" s="21" t="str">
        <f t="shared" si="2"/>
        <v/>
      </c>
      <c r="Y5" s="23"/>
      <c r="Z5" s="23"/>
      <c r="AA5" s="24"/>
      <c r="AB5" s="25" t="str">
        <f t="shared" si="3"/>
        <v/>
      </c>
    </row>
    <row r="6">
      <c r="A6" s="8" t="s">
        <v>47</v>
      </c>
      <c r="B6" s="8" t="s">
        <v>33</v>
      </c>
      <c r="C6" s="8" t="s">
        <v>34</v>
      </c>
      <c r="D6" s="9" t="s">
        <v>35</v>
      </c>
      <c r="E6" s="8" t="s">
        <v>36</v>
      </c>
      <c r="F6" s="10" t="s">
        <v>37</v>
      </c>
      <c r="G6" s="12">
        <v>35000.0</v>
      </c>
      <c r="H6" s="14"/>
      <c r="I6" s="13">
        <f t="shared" si="1"/>
        <v>35000</v>
      </c>
      <c r="J6" s="14"/>
      <c r="K6" s="14"/>
      <c r="L6" s="15"/>
      <c r="M6" s="16"/>
      <c r="N6" s="8" t="s">
        <v>43</v>
      </c>
      <c r="O6" s="9" t="s">
        <v>39</v>
      </c>
      <c r="P6" s="9" t="s">
        <v>39</v>
      </c>
      <c r="Q6" s="17"/>
      <c r="R6" s="18"/>
      <c r="S6" s="19"/>
      <c r="T6" s="19"/>
      <c r="U6" s="19"/>
      <c r="V6" s="19"/>
      <c r="W6" s="19"/>
      <c r="X6" s="21" t="str">
        <f t="shared" si="2"/>
        <v/>
      </c>
      <c r="Y6" s="22" t="s">
        <v>48</v>
      </c>
      <c r="Z6" s="22" t="s">
        <v>49</v>
      </c>
      <c r="AA6" s="24"/>
      <c r="AB6" s="25" t="str">
        <f t="shared" si="3"/>
        <v/>
      </c>
    </row>
    <row r="7">
      <c r="A7" s="8" t="s">
        <v>45</v>
      </c>
      <c r="B7" s="24"/>
      <c r="C7" s="24"/>
      <c r="D7" s="9" t="s">
        <v>35</v>
      </c>
      <c r="E7" s="8" t="s">
        <v>50</v>
      </c>
      <c r="F7" s="10" t="s">
        <v>51</v>
      </c>
      <c r="G7" s="14"/>
      <c r="H7" s="14"/>
      <c r="I7" s="13" t="str">
        <f t="shared" si="1"/>
        <v/>
      </c>
      <c r="J7" s="14"/>
      <c r="K7" s="14"/>
      <c r="L7" s="15"/>
      <c r="M7" s="16"/>
      <c r="N7" s="24"/>
      <c r="O7" s="19"/>
      <c r="P7" s="19"/>
      <c r="Q7" s="17"/>
      <c r="R7" s="18"/>
      <c r="S7" s="19"/>
      <c r="T7" s="19"/>
      <c r="U7" s="19"/>
      <c r="V7" s="19"/>
      <c r="W7" s="19"/>
      <c r="X7" s="21" t="str">
        <f t="shared" si="2"/>
        <v/>
      </c>
      <c r="Y7" s="23"/>
      <c r="Z7" s="23"/>
      <c r="AA7" s="24"/>
      <c r="AB7" s="25" t="str">
        <f t="shared" si="3"/>
        <v/>
      </c>
    </row>
    <row r="8">
      <c r="A8" s="8" t="s">
        <v>52</v>
      </c>
      <c r="B8" s="8" t="s">
        <v>53</v>
      </c>
      <c r="C8" s="8" t="s">
        <v>54</v>
      </c>
      <c r="D8" s="9" t="s">
        <v>35</v>
      </c>
      <c r="E8" s="8" t="s">
        <v>55</v>
      </c>
      <c r="F8" s="10" t="s">
        <v>56</v>
      </c>
      <c r="G8" s="12">
        <v>29000.0</v>
      </c>
      <c r="H8" s="14"/>
      <c r="I8" s="13">
        <f t="shared" si="1"/>
        <v>29000</v>
      </c>
      <c r="J8" s="14"/>
      <c r="K8" s="14"/>
      <c r="L8" s="15"/>
      <c r="M8" s="16"/>
      <c r="N8" s="8" t="s">
        <v>38</v>
      </c>
      <c r="O8" s="19"/>
      <c r="P8" s="19"/>
      <c r="Q8" s="17"/>
      <c r="R8" s="18"/>
      <c r="S8" s="19"/>
      <c r="T8" s="19"/>
      <c r="U8" s="19"/>
      <c r="V8" s="19"/>
      <c r="W8" s="19"/>
      <c r="X8" s="21" t="str">
        <f t="shared" si="2"/>
        <v/>
      </c>
      <c r="Y8" s="22" t="s">
        <v>57</v>
      </c>
      <c r="Z8" s="23"/>
      <c r="AA8" s="24"/>
      <c r="AB8" s="25" t="str">
        <f t="shared" si="3"/>
        <v/>
      </c>
    </row>
    <row r="9">
      <c r="A9" s="8" t="s">
        <v>45</v>
      </c>
      <c r="B9" s="24"/>
      <c r="C9" s="24"/>
      <c r="D9" s="9" t="s">
        <v>35</v>
      </c>
      <c r="E9" s="8" t="s">
        <v>58</v>
      </c>
      <c r="F9" s="10" t="s">
        <v>59</v>
      </c>
      <c r="G9" s="14"/>
      <c r="H9" s="14"/>
      <c r="I9" s="13" t="str">
        <f t="shared" si="1"/>
        <v/>
      </c>
      <c r="J9" s="14"/>
      <c r="K9" s="14"/>
      <c r="L9" s="15"/>
      <c r="M9" s="16"/>
      <c r="N9" s="24"/>
      <c r="O9" s="19"/>
      <c r="P9" s="19"/>
      <c r="Q9" s="17"/>
      <c r="R9" s="18"/>
      <c r="S9" s="19"/>
      <c r="T9" s="19"/>
      <c r="U9" s="19"/>
      <c r="V9" s="19"/>
      <c r="W9" s="19"/>
      <c r="X9" s="21" t="str">
        <f t="shared" si="2"/>
        <v/>
      </c>
      <c r="Y9" s="23"/>
      <c r="Z9" s="23"/>
      <c r="AA9" s="24"/>
      <c r="AB9" s="25" t="str">
        <f t="shared" si="3"/>
        <v/>
      </c>
    </row>
    <row r="10">
      <c r="A10" s="8" t="s">
        <v>45</v>
      </c>
      <c r="B10" s="24"/>
      <c r="C10" s="24"/>
      <c r="D10" s="9" t="s">
        <v>35</v>
      </c>
      <c r="E10" s="8" t="s">
        <v>60</v>
      </c>
      <c r="F10" s="10" t="s">
        <v>61</v>
      </c>
      <c r="G10" s="14"/>
      <c r="H10" s="14"/>
      <c r="I10" s="13" t="str">
        <f t="shared" si="1"/>
        <v/>
      </c>
      <c r="J10" s="14"/>
      <c r="K10" s="14"/>
      <c r="L10" s="15"/>
      <c r="M10" s="16"/>
      <c r="N10" s="24"/>
      <c r="O10" s="19"/>
      <c r="P10" s="19"/>
      <c r="Q10" s="17"/>
      <c r="R10" s="18"/>
      <c r="S10" s="19"/>
      <c r="T10" s="19"/>
      <c r="U10" s="19"/>
      <c r="V10" s="19"/>
      <c r="W10" s="19"/>
      <c r="X10" s="21" t="str">
        <f t="shared" si="2"/>
        <v/>
      </c>
      <c r="Y10" s="23"/>
      <c r="Z10" s="23"/>
      <c r="AA10" s="24"/>
      <c r="AB10" s="25" t="str">
        <f t="shared" si="3"/>
        <v/>
      </c>
    </row>
    <row r="11">
      <c r="A11" s="8" t="s">
        <v>45</v>
      </c>
      <c r="B11" s="24"/>
      <c r="C11" s="24"/>
      <c r="D11" s="9" t="s">
        <v>35</v>
      </c>
      <c r="E11" s="8" t="s">
        <v>62</v>
      </c>
      <c r="F11" s="10" t="s">
        <v>63</v>
      </c>
      <c r="G11" s="14"/>
      <c r="H11" s="14"/>
      <c r="I11" s="13" t="str">
        <f t="shared" si="1"/>
        <v/>
      </c>
      <c r="J11" s="14"/>
      <c r="K11" s="14"/>
      <c r="L11" s="15"/>
      <c r="M11" s="16"/>
      <c r="N11" s="24"/>
      <c r="O11" s="19"/>
      <c r="P11" s="19"/>
      <c r="Q11" s="17"/>
      <c r="R11" s="18"/>
      <c r="S11" s="19"/>
      <c r="T11" s="19"/>
      <c r="U11" s="19"/>
      <c r="V11" s="19"/>
      <c r="W11" s="19"/>
      <c r="X11" s="21" t="str">
        <f t="shared" si="2"/>
        <v/>
      </c>
      <c r="Y11" s="23"/>
      <c r="Z11" s="23"/>
      <c r="AA11" s="24"/>
      <c r="AB11" s="25" t="str">
        <f t="shared" si="3"/>
        <v/>
      </c>
    </row>
    <row r="12">
      <c r="A12" s="8" t="s">
        <v>45</v>
      </c>
      <c r="B12" s="24"/>
      <c r="C12" s="24"/>
      <c r="D12" s="9" t="s">
        <v>35</v>
      </c>
      <c r="E12" s="8" t="s">
        <v>64</v>
      </c>
      <c r="F12" s="10" t="s">
        <v>65</v>
      </c>
      <c r="G12" s="14"/>
      <c r="H12" s="14"/>
      <c r="I12" s="13" t="str">
        <f t="shared" si="1"/>
        <v/>
      </c>
      <c r="J12" s="14"/>
      <c r="K12" s="14"/>
      <c r="L12" s="15"/>
      <c r="M12" s="16"/>
      <c r="N12" s="24"/>
      <c r="O12" s="19"/>
      <c r="P12" s="19"/>
      <c r="Q12" s="17"/>
      <c r="R12" s="18"/>
      <c r="S12" s="19"/>
      <c r="T12" s="19"/>
      <c r="U12" s="19"/>
      <c r="V12" s="19"/>
      <c r="W12" s="19"/>
      <c r="X12" s="21" t="str">
        <f t="shared" si="2"/>
        <v/>
      </c>
      <c r="Y12" s="23"/>
      <c r="Z12" s="23"/>
      <c r="AA12" s="24"/>
      <c r="AB12" s="25" t="str">
        <f t="shared" si="3"/>
        <v/>
      </c>
    </row>
    <row r="13">
      <c r="A13" s="8" t="s">
        <v>66</v>
      </c>
      <c r="B13" s="8" t="s">
        <v>33</v>
      </c>
      <c r="C13" s="8" t="s">
        <v>34</v>
      </c>
      <c r="D13" s="9" t="s">
        <v>35</v>
      </c>
      <c r="E13" s="8" t="s">
        <v>67</v>
      </c>
      <c r="F13" s="10" t="s">
        <v>68</v>
      </c>
      <c r="G13" s="12">
        <v>22000.0</v>
      </c>
      <c r="H13" s="14"/>
      <c r="I13" s="13">
        <f t="shared" si="1"/>
        <v>22000</v>
      </c>
      <c r="J13" s="14"/>
      <c r="K13" s="14"/>
      <c r="L13" s="15"/>
      <c r="M13" s="16"/>
      <c r="N13" s="8" t="s">
        <v>38</v>
      </c>
      <c r="O13" s="9" t="s">
        <v>39</v>
      </c>
      <c r="P13" s="9" t="s">
        <v>39</v>
      </c>
      <c r="Q13" s="17"/>
      <c r="R13" s="18"/>
      <c r="S13" s="19"/>
      <c r="T13" s="19"/>
      <c r="U13" s="19"/>
      <c r="V13" s="19"/>
      <c r="W13" s="19"/>
      <c r="X13" s="21" t="str">
        <f t="shared" si="2"/>
        <v/>
      </c>
      <c r="Y13" s="23"/>
      <c r="Z13" s="23"/>
      <c r="AA13" s="24"/>
      <c r="AB13" s="25" t="str">
        <f t="shared" si="3"/>
        <v/>
      </c>
    </row>
    <row r="14">
      <c r="A14" s="24"/>
      <c r="B14" s="24"/>
      <c r="C14" s="24"/>
      <c r="D14" s="19"/>
      <c r="E14" s="24"/>
      <c r="F14" s="16"/>
      <c r="G14" s="14"/>
      <c r="H14" s="14"/>
      <c r="I14" s="13" t="str">
        <f t="shared" si="1"/>
        <v/>
      </c>
      <c r="J14" s="14"/>
      <c r="K14" s="14"/>
      <c r="L14" s="15"/>
      <c r="M14" s="16"/>
      <c r="N14" s="24"/>
      <c r="O14" s="19"/>
      <c r="P14" s="19"/>
      <c r="Q14" s="17"/>
      <c r="R14" s="18"/>
      <c r="S14" s="19"/>
      <c r="T14" s="19"/>
      <c r="U14" s="19"/>
      <c r="V14" s="19"/>
      <c r="W14" s="19"/>
      <c r="X14" s="21" t="str">
        <f t="shared" si="2"/>
        <v/>
      </c>
      <c r="Y14" s="23"/>
      <c r="Z14" s="23"/>
      <c r="AA14" s="24"/>
      <c r="AB14" s="25" t="str">
        <f t="shared" si="3"/>
        <v/>
      </c>
    </row>
    <row r="15">
      <c r="A15" s="24"/>
      <c r="B15" s="24"/>
      <c r="C15" s="24"/>
      <c r="D15" s="19"/>
      <c r="E15" s="24"/>
      <c r="F15" s="16"/>
      <c r="G15" s="14"/>
      <c r="H15" s="14"/>
      <c r="I15" s="13" t="str">
        <f t="shared" si="1"/>
        <v/>
      </c>
      <c r="J15" s="14"/>
      <c r="K15" s="14"/>
      <c r="L15" s="15"/>
      <c r="M15" s="16"/>
      <c r="N15" s="24"/>
      <c r="O15" s="19"/>
      <c r="P15" s="19"/>
      <c r="Q15" s="17"/>
      <c r="R15" s="18"/>
      <c r="S15" s="19"/>
      <c r="T15" s="19"/>
      <c r="U15" s="19"/>
      <c r="V15" s="19"/>
      <c r="W15" s="19"/>
      <c r="X15" s="21" t="str">
        <f t="shared" si="2"/>
        <v/>
      </c>
      <c r="Y15" s="23"/>
      <c r="Z15" s="23"/>
      <c r="AA15" s="24"/>
      <c r="AB15" s="25" t="str">
        <f t="shared" si="3"/>
        <v/>
      </c>
    </row>
    <row r="16">
      <c r="A16" s="24"/>
      <c r="B16" s="24"/>
      <c r="C16" s="24"/>
      <c r="D16" s="19"/>
      <c r="E16" s="24"/>
      <c r="F16" s="16"/>
      <c r="G16" s="14"/>
      <c r="H16" s="14"/>
      <c r="I16" s="13" t="str">
        <f t="shared" si="1"/>
        <v/>
      </c>
      <c r="J16" s="14"/>
      <c r="K16" s="14"/>
      <c r="L16" s="15"/>
      <c r="M16" s="16"/>
      <c r="N16" s="24"/>
      <c r="O16" s="19"/>
      <c r="P16" s="19"/>
      <c r="Q16" s="17"/>
      <c r="R16" s="18"/>
      <c r="S16" s="19"/>
      <c r="T16" s="19"/>
      <c r="U16" s="19"/>
      <c r="V16" s="19"/>
      <c r="W16" s="19"/>
      <c r="X16" s="21" t="str">
        <f t="shared" si="2"/>
        <v/>
      </c>
      <c r="Y16" s="23"/>
      <c r="Z16" s="23"/>
      <c r="AA16" s="24"/>
      <c r="AB16" s="25" t="str">
        <f t="shared" si="3"/>
        <v/>
      </c>
    </row>
    <row r="17">
      <c r="A17" s="26" t="s">
        <v>69</v>
      </c>
      <c r="B17" s="8" t="s">
        <v>70</v>
      </c>
      <c r="C17" s="8" t="s">
        <v>34</v>
      </c>
      <c r="D17" s="19"/>
      <c r="E17" s="24"/>
      <c r="F17" s="16"/>
      <c r="G17" s="12">
        <v>23000.0</v>
      </c>
      <c r="H17" s="14"/>
      <c r="I17" s="13">
        <f t="shared" si="1"/>
        <v>23000</v>
      </c>
      <c r="J17" s="12">
        <v>46000.0</v>
      </c>
      <c r="K17" s="14"/>
      <c r="L17" s="15"/>
      <c r="M17" s="16"/>
      <c r="N17" s="8" t="s">
        <v>38</v>
      </c>
      <c r="O17" s="9" t="s">
        <v>39</v>
      </c>
      <c r="P17" s="9" t="s">
        <v>39</v>
      </c>
      <c r="Q17" s="17"/>
      <c r="R17" s="18"/>
      <c r="S17" s="19"/>
      <c r="T17" s="19"/>
      <c r="U17" s="19"/>
      <c r="V17" s="19"/>
      <c r="W17" s="19"/>
      <c r="X17" s="21" t="str">
        <f t="shared" si="2"/>
        <v/>
      </c>
      <c r="Y17" s="22" t="s">
        <v>71</v>
      </c>
      <c r="Z17" s="23"/>
      <c r="AA17" s="24"/>
      <c r="AB17" s="25" t="str">
        <f t="shared" si="3"/>
        <v/>
      </c>
    </row>
    <row r="18">
      <c r="A18" s="26" t="s">
        <v>72</v>
      </c>
      <c r="B18" s="24"/>
      <c r="C18" s="24"/>
      <c r="D18" s="19"/>
      <c r="E18" s="24"/>
      <c r="F18" s="16"/>
      <c r="G18" s="14"/>
      <c r="H18" s="14"/>
      <c r="I18" s="13" t="str">
        <f t="shared" si="1"/>
        <v/>
      </c>
      <c r="J18" s="14"/>
      <c r="K18" s="14"/>
      <c r="L18" s="15"/>
      <c r="M18" s="16"/>
      <c r="N18" s="24"/>
      <c r="O18" s="19"/>
      <c r="P18" s="19"/>
      <c r="Q18" s="17"/>
      <c r="R18" s="18"/>
      <c r="S18" s="19"/>
      <c r="T18" s="19"/>
      <c r="U18" s="19"/>
      <c r="V18" s="19"/>
      <c r="W18" s="19"/>
      <c r="X18" s="21" t="str">
        <f t="shared" si="2"/>
        <v/>
      </c>
      <c r="Y18" s="23"/>
      <c r="Z18" s="22" t="s">
        <v>73</v>
      </c>
      <c r="AA18" s="24"/>
      <c r="AB18" s="25" t="str">
        <f t="shared" si="3"/>
        <v/>
      </c>
    </row>
    <row r="19">
      <c r="A19" s="24"/>
      <c r="B19" s="24"/>
      <c r="C19" s="24"/>
      <c r="D19" s="19"/>
      <c r="E19" s="24"/>
      <c r="F19" s="16"/>
      <c r="G19" s="14"/>
      <c r="H19" s="14"/>
      <c r="I19" s="13" t="str">
        <f t="shared" si="1"/>
        <v/>
      </c>
      <c r="J19" s="14"/>
      <c r="K19" s="14"/>
      <c r="L19" s="15"/>
      <c r="M19" s="16"/>
      <c r="N19" s="24"/>
      <c r="O19" s="19"/>
      <c r="P19" s="19"/>
      <c r="Q19" s="17"/>
      <c r="R19" s="18"/>
      <c r="S19" s="19"/>
      <c r="T19" s="19"/>
      <c r="U19" s="19"/>
      <c r="V19" s="19"/>
      <c r="W19" s="19"/>
      <c r="X19" s="21" t="str">
        <f t="shared" si="2"/>
        <v/>
      </c>
      <c r="Y19" s="23"/>
      <c r="Z19" s="23"/>
      <c r="AA19" s="24"/>
      <c r="AB19" s="25" t="str">
        <f t="shared" si="3"/>
        <v/>
      </c>
    </row>
    <row r="20">
      <c r="A20" s="24"/>
      <c r="B20" s="24"/>
      <c r="C20" s="24"/>
      <c r="D20" s="19"/>
      <c r="E20" s="24"/>
      <c r="F20" s="16"/>
      <c r="G20" s="14"/>
      <c r="H20" s="14"/>
      <c r="I20" s="13" t="str">
        <f t="shared" si="1"/>
        <v/>
      </c>
      <c r="J20" s="14"/>
      <c r="K20" s="14"/>
      <c r="L20" s="15"/>
      <c r="M20" s="16"/>
      <c r="N20" s="24"/>
      <c r="O20" s="19"/>
      <c r="P20" s="19"/>
      <c r="Q20" s="17"/>
      <c r="R20" s="18"/>
      <c r="S20" s="19"/>
      <c r="T20" s="19"/>
      <c r="U20" s="19"/>
      <c r="V20" s="19"/>
      <c r="W20" s="19"/>
      <c r="X20" s="21" t="str">
        <f t="shared" si="2"/>
        <v/>
      </c>
      <c r="Y20" s="23"/>
      <c r="Z20" s="23"/>
      <c r="AA20" s="24"/>
      <c r="AB20" s="25" t="str">
        <f t="shared" si="3"/>
        <v/>
      </c>
    </row>
    <row r="21" ht="15.75" customHeight="1">
      <c r="A21" s="24"/>
      <c r="B21" s="24"/>
      <c r="C21" s="24"/>
      <c r="D21" s="19"/>
      <c r="E21" s="24"/>
      <c r="F21" s="16"/>
      <c r="G21" s="14"/>
      <c r="H21" s="14"/>
      <c r="I21" s="13" t="str">
        <f t="shared" si="1"/>
        <v/>
      </c>
      <c r="J21" s="14"/>
      <c r="K21" s="14"/>
      <c r="L21" s="15"/>
      <c r="M21" s="16"/>
      <c r="N21" s="24"/>
      <c r="O21" s="19"/>
      <c r="P21" s="19"/>
      <c r="Q21" s="17"/>
      <c r="R21" s="18"/>
      <c r="S21" s="19"/>
      <c r="T21" s="19"/>
      <c r="U21" s="19"/>
      <c r="V21" s="19"/>
      <c r="W21" s="19"/>
      <c r="X21" s="21" t="str">
        <f t="shared" si="2"/>
        <v/>
      </c>
      <c r="Y21" s="23"/>
      <c r="Z21" s="23"/>
      <c r="AA21" s="24"/>
      <c r="AB21" s="25" t="str">
        <f t="shared" si="3"/>
        <v/>
      </c>
    </row>
    <row r="22" ht="15.75" customHeight="1">
      <c r="A22" s="24"/>
      <c r="B22" s="24"/>
      <c r="C22" s="24"/>
      <c r="D22" s="19"/>
      <c r="E22" s="24"/>
      <c r="F22" s="16"/>
      <c r="G22" s="14"/>
      <c r="H22" s="14"/>
      <c r="I22" s="13" t="str">
        <f t="shared" si="1"/>
        <v/>
      </c>
      <c r="J22" s="14"/>
      <c r="K22" s="14"/>
      <c r="L22" s="15"/>
      <c r="M22" s="16"/>
      <c r="N22" s="24"/>
      <c r="O22" s="19"/>
      <c r="P22" s="19"/>
      <c r="Q22" s="17"/>
      <c r="R22" s="18"/>
      <c r="S22" s="19"/>
      <c r="T22" s="19"/>
      <c r="U22" s="19"/>
      <c r="V22" s="19"/>
      <c r="W22" s="19"/>
      <c r="X22" s="21" t="str">
        <f t="shared" si="2"/>
        <v/>
      </c>
      <c r="Y22" s="23"/>
      <c r="Z22" s="23"/>
      <c r="AA22" s="24"/>
      <c r="AB22" s="25" t="str">
        <f t="shared" si="3"/>
        <v/>
      </c>
    </row>
    <row r="23" ht="15.75" customHeight="1">
      <c r="A23" s="24"/>
      <c r="B23" s="24"/>
      <c r="C23" s="24"/>
      <c r="D23" s="19"/>
      <c r="E23" s="24"/>
      <c r="F23" s="16"/>
      <c r="G23" s="14"/>
      <c r="H23" s="14"/>
      <c r="I23" s="13" t="str">
        <f t="shared" si="1"/>
        <v/>
      </c>
      <c r="J23" s="14"/>
      <c r="K23" s="14"/>
      <c r="L23" s="15"/>
      <c r="M23" s="16"/>
      <c r="N23" s="24"/>
      <c r="O23" s="19"/>
      <c r="P23" s="19"/>
      <c r="Q23" s="17"/>
      <c r="R23" s="18"/>
      <c r="S23" s="19"/>
      <c r="T23" s="19"/>
      <c r="U23" s="19"/>
      <c r="V23" s="19"/>
      <c r="W23" s="19"/>
      <c r="X23" s="21" t="str">
        <f t="shared" si="2"/>
        <v/>
      </c>
      <c r="Y23" s="23"/>
      <c r="Z23" s="23"/>
      <c r="AA23" s="24"/>
      <c r="AB23" s="25" t="str">
        <f t="shared" si="3"/>
        <v/>
      </c>
    </row>
    <row r="24" ht="15.75" customHeight="1">
      <c r="A24" s="24"/>
      <c r="B24" s="24"/>
      <c r="C24" s="24"/>
      <c r="D24" s="19"/>
      <c r="E24" s="24"/>
      <c r="F24" s="16"/>
      <c r="G24" s="14"/>
      <c r="H24" s="14"/>
      <c r="I24" s="13" t="str">
        <f t="shared" si="1"/>
        <v/>
      </c>
      <c r="J24" s="14"/>
      <c r="K24" s="14"/>
      <c r="L24" s="15"/>
      <c r="M24" s="16"/>
      <c r="N24" s="24"/>
      <c r="O24" s="19"/>
      <c r="P24" s="19"/>
      <c r="Q24" s="17"/>
      <c r="R24" s="18"/>
      <c r="S24" s="19"/>
      <c r="T24" s="19"/>
      <c r="U24" s="19"/>
      <c r="V24" s="19"/>
      <c r="W24" s="19"/>
      <c r="X24" s="21" t="str">
        <f t="shared" si="2"/>
        <v/>
      </c>
      <c r="Y24" s="23"/>
      <c r="Z24" s="23"/>
      <c r="AA24" s="24"/>
      <c r="AB24" s="25" t="str">
        <f t="shared" si="3"/>
        <v/>
      </c>
    </row>
    <row r="25" ht="15.75" customHeight="1">
      <c r="A25" s="24"/>
      <c r="B25" s="24"/>
      <c r="C25" s="24"/>
      <c r="D25" s="19"/>
      <c r="E25" s="24"/>
      <c r="F25" s="16"/>
      <c r="G25" s="14"/>
      <c r="H25" s="14"/>
      <c r="I25" s="13" t="str">
        <f t="shared" si="1"/>
        <v/>
      </c>
      <c r="J25" s="14"/>
      <c r="K25" s="14"/>
      <c r="L25" s="15"/>
      <c r="M25" s="16"/>
      <c r="N25" s="24"/>
      <c r="O25" s="19"/>
      <c r="P25" s="19"/>
      <c r="Q25" s="17"/>
      <c r="R25" s="18"/>
      <c r="S25" s="19"/>
      <c r="T25" s="19"/>
      <c r="U25" s="19"/>
      <c r="V25" s="19"/>
      <c r="W25" s="19"/>
      <c r="X25" s="21" t="str">
        <f t="shared" si="2"/>
        <v/>
      </c>
      <c r="Y25" s="23"/>
      <c r="Z25" s="23"/>
      <c r="AA25" s="24"/>
      <c r="AB25" s="25" t="str">
        <f t="shared" si="3"/>
        <v/>
      </c>
    </row>
    <row r="26" ht="15.75" customHeight="1">
      <c r="A26" s="24"/>
      <c r="B26" s="24"/>
      <c r="C26" s="24"/>
      <c r="D26" s="19"/>
      <c r="E26" s="24"/>
      <c r="F26" s="16"/>
      <c r="G26" s="14"/>
      <c r="H26" s="14"/>
      <c r="I26" s="13" t="str">
        <f t="shared" si="1"/>
        <v/>
      </c>
      <c r="J26" s="14"/>
      <c r="K26" s="14"/>
      <c r="L26" s="15"/>
      <c r="M26" s="16"/>
      <c r="N26" s="24"/>
      <c r="O26" s="19"/>
      <c r="P26" s="19"/>
      <c r="Q26" s="17"/>
      <c r="R26" s="18"/>
      <c r="S26" s="19"/>
      <c r="T26" s="19"/>
      <c r="U26" s="19"/>
      <c r="V26" s="19"/>
      <c r="W26" s="19"/>
      <c r="X26" s="21" t="str">
        <f t="shared" si="2"/>
        <v/>
      </c>
      <c r="Y26" s="23"/>
      <c r="Z26" s="23"/>
      <c r="AA26" s="24"/>
      <c r="AB26" s="25" t="str">
        <f t="shared" si="3"/>
        <v/>
      </c>
    </row>
    <row r="27" ht="15.75" customHeight="1">
      <c r="A27" s="24"/>
      <c r="B27" s="24"/>
      <c r="C27" s="24"/>
      <c r="D27" s="19"/>
      <c r="E27" s="24"/>
      <c r="F27" s="16"/>
      <c r="G27" s="14"/>
      <c r="H27" s="14"/>
      <c r="I27" s="13" t="str">
        <f t="shared" si="1"/>
        <v/>
      </c>
      <c r="J27" s="14"/>
      <c r="K27" s="14"/>
      <c r="L27" s="15"/>
      <c r="M27" s="16"/>
      <c r="N27" s="24"/>
      <c r="O27" s="19"/>
      <c r="P27" s="19"/>
      <c r="Q27" s="17"/>
      <c r="R27" s="18"/>
      <c r="S27" s="19"/>
      <c r="T27" s="19"/>
      <c r="U27" s="19"/>
      <c r="V27" s="19"/>
      <c r="W27" s="19"/>
      <c r="X27" s="21" t="str">
        <f t="shared" si="2"/>
        <v/>
      </c>
      <c r="Y27" s="23"/>
      <c r="Z27" s="23"/>
      <c r="AA27" s="24"/>
      <c r="AB27" s="25" t="str">
        <f t="shared" si="3"/>
        <v/>
      </c>
    </row>
    <row r="28" ht="15.75" customHeight="1">
      <c r="A28" s="24"/>
      <c r="B28" s="24"/>
      <c r="C28" s="24"/>
      <c r="D28" s="19"/>
      <c r="E28" s="24"/>
      <c r="F28" s="16"/>
      <c r="G28" s="14"/>
      <c r="H28" s="14"/>
      <c r="I28" s="13" t="str">
        <f t="shared" si="1"/>
        <v/>
      </c>
      <c r="J28" s="14"/>
      <c r="K28" s="14"/>
      <c r="L28" s="15"/>
      <c r="M28" s="16"/>
      <c r="N28" s="24"/>
      <c r="O28" s="19"/>
      <c r="P28" s="19"/>
      <c r="Q28" s="17"/>
      <c r="R28" s="18"/>
      <c r="S28" s="19"/>
      <c r="T28" s="19"/>
      <c r="U28" s="19"/>
      <c r="V28" s="19"/>
      <c r="W28" s="19"/>
      <c r="X28" s="21" t="str">
        <f t="shared" si="2"/>
        <v/>
      </c>
      <c r="Y28" s="23"/>
      <c r="Z28" s="23"/>
      <c r="AA28" s="24"/>
      <c r="AB28" s="25" t="str">
        <f t="shared" si="3"/>
        <v/>
      </c>
    </row>
    <row r="29" ht="15.75" customHeight="1">
      <c r="A29" s="24"/>
      <c r="B29" s="24"/>
      <c r="C29" s="24"/>
      <c r="D29" s="19"/>
      <c r="E29" s="24"/>
      <c r="F29" s="16"/>
      <c r="G29" s="14"/>
      <c r="H29" s="14"/>
      <c r="I29" s="13" t="str">
        <f t="shared" si="1"/>
        <v/>
      </c>
      <c r="J29" s="14"/>
      <c r="K29" s="14"/>
      <c r="L29" s="15"/>
      <c r="M29" s="16"/>
      <c r="N29" s="24"/>
      <c r="O29" s="19"/>
      <c r="P29" s="19"/>
      <c r="Q29" s="17"/>
      <c r="R29" s="18"/>
      <c r="S29" s="19"/>
      <c r="T29" s="19"/>
      <c r="U29" s="19"/>
      <c r="V29" s="19"/>
      <c r="W29" s="19"/>
      <c r="X29" s="21" t="str">
        <f t="shared" si="2"/>
        <v/>
      </c>
      <c r="Y29" s="23"/>
      <c r="Z29" s="23"/>
      <c r="AA29" s="24"/>
      <c r="AB29" s="25" t="str">
        <f t="shared" si="3"/>
        <v/>
      </c>
    </row>
    <row r="30" ht="15.75" customHeight="1">
      <c r="A30" s="24"/>
      <c r="B30" s="24"/>
      <c r="C30" s="24"/>
      <c r="D30" s="19"/>
      <c r="E30" s="24"/>
      <c r="F30" s="16"/>
      <c r="G30" s="14"/>
      <c r="H30" s="14"/>
      <c r="I30" s="13" t="str">
        <f t="shared" si="1"/>
        <v/>
      </c>
      <c r="J30" s="14"/>
      <c r="K30" s="14"/>
      <c r="L30" s="15"/>
      <c r="M30" s="16"/>
      <c r="N30" s="24"/>
      <c r="O30" s="19"/>
      <c r="P30" s="19"/>
      <c r="Q30" s="17"/>
      <c r="R30" s="18"/>
      <c r="S30" s="19"/>
      <c r="T30" s="19"/>
      <c r="U30" s="19"/>
      <c r="V30" s="19"/>
      <c r="W30" s="19"/>
      <c r="X30" s="21" t="str">
        <f t="shared" si="2"/>
        <v/>
      </c>
      <c r="Y30" s="23"/>
      <c r="Z30" s="23"/>
      <c r="AA30" s="24"/>
      <c r="AB30" s="25" t="str">
        <f t="shared" si="3"/>
        <v/>
      </c>
    </row>
    <row r="31" ht="15.75" customHeight="1">
      <c r="A31" s="24"/>
      <c r="B31" s="24"/>
      <c r="C31" s="24"/>
      <c r="D31" s="19"/>
      <c r="E31" s="24"/>
      <c r="F31" s="16"/>
      <c r="G31" s="14"/>
      <c r="H31" s="14"/>
      <c r="I31" s="13" t="str">
        <f t="shared" si="1"/>
        <v/>
      </c>
      <c r="J31" s="14"/>
      <c r="K31" s="14"/>
      <c r="L31" s="15"/>
      <c r="M31" s="16"/>
      <c r="N31" s="24"/>
      <c r="O31" s="19"/>
      <c r="P31" s="19"/>
      <c r="Q31" s="17"/>
      <c r="R31" s="18"/>
      <c r="S31" s="19"/>
      <c r="T31" s="19"/>
      <c r="U31" s="19"/>
      <c r="V31" s="19"/>
      <c r="W31" s="19"/>
      <c r="X31" s="21" t="str">
        <f t="shared" si="2"/>
        <v/>
      </c>
      <c r="Y31" s="23"/>
      <c r="Z31" s="23"/>
      <c r="AA31" s="24"/>
      <c r="AB31" s="25" t="str">
        <f t="shared" si="3"/>
        <v/>
      </c>
    </row>
    <row r="32" ht="15.75" customHeight="1">
      <c r="A32" s="24"/>
      <c r="B32" s="24"/>
      <c r="C32" s="24"/>
      <c r="D32" s="19"/>
      <c r="E32" s="24"/>
      <c r="F32" s="16"/>
      <c r="G32" s="14"/>
      <c r="H32" s="14"/>
      <c r="I32" s="13" t="str">
        <f t="shared" si="1"/>
        <v/>
      </c>
      <c r="J32" s="14"/>
      <c r="K32" s="14"/>
      <c r="L32" s="15"/>
      <c r="M32" s="16"/>
      <c r="N32" s="24"/>
      <c r="O32" s="19"/>
      <c r="P32" s="19"/>
      <c r="Q32" s="17"/>
      <c r="R32" s="18"/>
      <c r="S32" s="19"/>
      <c r="T32" s="19"/>
      <c r="U32" s="19"/>
      <c r="V32" s="19"/>
      <c r="W32" s="19"/>
      <c r="X32" s="21" t="str">
        <f t="shared" si="2"/>
        <v/>
      </c>
      <c r="Y32" s="23"/>
      <c r="Z32" s="23"/>
      <c r="AA32" s="24"/>
      <c r="AB32" s="25" t="str">
        <f t="shared" si="3"/>
        <v/>
      </c>
    </row>
    <row r="33" ht="15.75" customHeight="1">
      <c r="A33" s="24"/>
      <c r="B33" s="24"/>
      <c r="C33" s="24"/>
      <c r="D33" s="19"/>
      <c r="E33" s="24"/>
      <c r="F33" s="16"/>
      <c r="G33" s="14"/>
      <c r="H33" s="14"/>
      <c r="I33" s="13" t="str">
        <f t="shared" si="1"/>
        <v/>
      </c>
      <c r="J33" s="14"/>
      <c r="K33" s="14"/>
      <c r="L33" s="15"/>
      <c r="M33" s="16"/>
      <c r="N33" s="24"/>
      <c r="O33" s="19"/>
      <c r="P33" s="19"/>
      <c r="Q33" s="17"/>
      <c r="R33" s="18"/>
      <c r="S33" s="19"/>
      <c r="T33" s="19"/>
      <c r="U33" s="19"/>
      <c r="V33" s="19"/>
      <c r="W33" s="19"/>
      <c r="X33" s="21" t="str">
        <f t="shared" si="2"/>
        <v/>
      </c>
      <c r="Y33" s="23"/>
      <c r="Z33" s="23"/>
      <c r="AA33" s="24"/>
      <c r="AB33" s="25" t="str">
        <f t="shared" si="3"/>
        <v/>
      </c>
    </row>
    <row r="34" ht="15.75" customHeight="1">
      <c r="A34" s="24"/>
      <c r="B34" s="24"/>
      <c r="C34" s="24"/>
      <c r="D34" s="19"/>
      <c r="E34" s="24"/>
      <c r="F34" s="16"/>
      <c r="G34" s="14"/>
      <c r="H34" s="14"/>
      <c r="I34" s="13" t="str">
        <f t="shared" si="1"/>
        <v/>
      </c>
      <c r="J34" s="14"/>
      <c r="K34" s="14"/>
      <c r="L34" s="15"/>
      <c r="M34" s="16"/>
      <c r="N34" s="24"/>
      <c r="O34" s="19"/>
      <c r="P34" s="19"/>
      <c r="Q34" s="17"/>
      <c r="R34" s="18"/>
      <c r="S34" s="19"/>
      <c r="T34" s="19"/>
      <c r="U34" s="19"/>
      <c r="V34" s="19"/>
      <c r="W34" s="19"/>
      <c r="X34" s="21" t="str">
        <f t="shared" si="2"/>
        <v/>
      </c>
      <c r="Y34" s="23"/>
      <c r="Z34" s="23"/>
      <c r="AA34" s="24"/>
      <c r="AB34" s="25" t="str">
        <f t="shared" si="3"/>
        <v/>
      </c>
    </row>
    <row r="35" ht="15.75" customHeight="1">
      <c r="A35" s="24"/>
      <c r="B35" s="24"/>
      <c r="C35" s="24"/>
      <c r="D35" s="19"/>
      <c r="E35" s="24"/>
      <c r="F35" s="16"/>
      <c r="G35" s="14"/>
      <c r="H35" s="14"/>
      <c r="I35" s="13" t="str">
        <f t="shared" si="1"/>
        <v/>
      </c>
      <c r="J35" s="14"/>
      <c r="K35" s="14"/>
      <c r="L35" s="15"/>
      <c r="M35" s="16"/>
      <c r="N35" s="24"/>
      <c r="O35" s="19"/>
      <c r="P35" s="19"/>
      <c r="Q35" s="17"/>
      <c r="R35" s="18"/>
      <c r="S35" s="19"/>
      <c r="T35" s="19"/>
      <c r="U35" s="19"/>
      <c r="V35" s="19"/>
      <c r="W35" s="19"/>
      <c r="X35" s="21" t="str">
        <f t="shared" si="2"/>
        <v/>
      </c>
      <c r="Y35" s="23"/>
      <c r="Z35" s="23"/>
      <c r="AA35" s="24"/>
      <c r="AB35" s="25" t="str">
        <f t="shared" si="3"/>
        <v/>
      </c>
    </row>
    <row r="36" ht="15.75" customHeight="1">
      <c r="A36" s="24"/>
      <c r="B36" s="24"/>
      <c r="C36" s="24"/>
      <c r="D36" s="19"/>
      <c r="E36" s="24"/>
      <c r="F36" s="16"/>
      <c r="G36" s="14"/>
      <c r="H36" s="14"/>
      <c r="I36" s="13" t="str">
        <f t="shared" si="1"/>
        <v/>
      </c>
      <c r="J36" s="14"/>
      <c r="K36" s="14"/>
      <c r="L36" s="15"/>
      <c r="M36" s="16"/>
      <c r="N36" s="24"/>
      <c r="O36" s="19"/>
      <c r="P36" s="19"/>
      <c r="Q36" s="17"/>
      <c r="R36" s="18"/>
      <c r="S36" s="19"/>
      <c r="T36" s="19"/>
      <c r="U36" s="19"/>
      <c r="V36" s="19"/>
      <c r="W36" s="19"/>
      <c r="X36" s="21" t="str">
        <f t="shared" si="2"/>
        <v/>
      </c>
      <c r="Y36" s="23"/>
      <c r="Z36" s="23"/>
      <c r="AA36" s="24"/>
      <c r="AB36" s="25" t="str">
        <f t="shared" si="3"/>
        <v/>
      </c>
    </row>
    <row r="37" ht="15.75" customHeight="1">
      <c r="A37" s="24"/>
      <c r="B37" s="24"/>
      <c r="C37" s="24"/>
      <c r="D37" s="19"/>
      <c r="E37" s="24"/>
      <c r="F37" s="16"/>
      <c r="G37" s="14"/>
      <c r="H37" s="14"/>
      <c r="I37" s="13" t="str">
        <f t="shared" si="1"/>
        <v/>
      </c>
      <c r="J37" s="14"/>
      <c r="K37" s="14"/>
      <c r="L37" s="15"/>
      <c r="M37" s="16"/>
      <c r="N37" s="24"/>
      <c r="O37" s="19"/>
      <c r="P37" s="19"/>
      <c r="Q37" s="17"/>
      <c r="R37" s="18"/>
      <c r="S37" s="19"/>
      <c r="T37" s="19"/>
      <c r="U37" s="19"/>
      <c r="V37" s="19"/>
      <c r="W37" s="19"/>
      <c r="X37" s="21" t="str">
        <f t="shared" si="2"/>
        <v/>
      </c>
      <c r="Y37" s="23"/>
      <c r="Z37" s="23"/>
      <c r="AA37" s="24"/>
      <c r="AB37" s="25" t="str">
        <f t="shared" si="3"/>
        <v/>
      </c>
    </row>
    <row r="38" ht="15.75" customHeight="1">
      <c r="A38" s="24"/>
      <c r="B38" s="24"/>
      <c r="C38" s="24"/>
      <c r="D38" s="19"/>
      <c r="E38" s="24"/>
      <c r="F38" s="16"/>
      <c r="G38" s="14"/>
      <c r="H38" s="14"/>
      <c r="I38" s="13" t="str">
        <f t="shared" si="1"/>
        <v/>
      </c>
      <c r="J38" s="14"/>
      <c r="K38" s="14"/>
      <c r="L38" s="15"/>
      <c r="M38" s="16"/>
      <c r="N38" s="24"/>
      <c r="O38" s="19"/>
      <c r="P38" s="19"/>
      <c r="Q38" s="17"/>
      <c r="R38" s="18"/>
      <c r="S38" s="19"/>
      <c r="T38" s="19"/>
      <c r="U38" s="19"/>
      <c r="V38" s="19"/>
      <c r="W38" s="19"/>
      <c r="X38" s="21" t="str">
        <f t="shared" si="2"/>
        <v/>
      </c>
      <c r="Y38" s="23"/>
      <c r="Z38" s="23"/>
      <c r="AA38" s="24"/>
      <c r="AB38" s="25" t="str">
        <f t="shared" si="3"/>
        <v/>
      </c>
    </row>
    <row r="39" ht="15.75" customHeight="1">
      <c r="A39" s="24"/>
      <c r="B39" s="24"/>
      <c r="C39" s="24"/>
      <c r="D39" s="19"/>
      <c r="E39" s="24"/>
      <c r="F39" s="16"/>
      <c r="G39" s="14"/>
      <c r="H39" s="14"/>
      <c r="I39" s="13" t="str">
        <f t="shared" si="1"/>
        <v/>
      </c>
      <c r="J39" s="14"/>
      <c r="K39" s="14"/>
      <c r="L39" s="15"/>
      <c r="M39" s="16"/>
      <c r="N39" s="24"/>
      <c r="O39" s="19"/>
      <c r="P39" s="19"/>
      <c r="Q39" s="17"/>
      <c r="R39" s="18"/>
      <c r="S39" s="19"/>
      <c r="T39" s="19"/>
      <c r="U39" s="19"/>
      <c r="V39" s="19"/>
      <c r="W39" s="19"/>
      <c r="X39" s="21" t="str">
        <f t="shared" si="2"/>
        <v/>
      </c>
      <c r="Y39" s="23"/>
      <c r="Z39" s="23"/>
      <c r="AA39" s="24"/>
      <c r="AB39" s="25" t="str">
        <f t="shared" si="3"/>
        <v/>
      </c>
    </row>
    <row r="40" ht="15.75" customHeight="1">
      <c r="A40" s="24"/>
      <c r="B40" s="24"/>
      <c r="C40" s="24"/>
      <c r="D40" s="19"/>
      <c r="E40" s="24"/>
      <c r="F40" s="16"/>
      <c r="G40" s="14"/>
      <c r="H40" s="14"/>
      <c r="I40" s="13" t="str">
        <f t="shared" si="1"/>
        <v/>
      </c>
      <c r="J40" s="14"/>
      <c r="K40" s="14"/>
      <c r="L40" s="15"/>
      <c r="M40" s="16"/>
      <c r="N40" s="24"/>
      <c r="O40" s="19"/>
      <c r="P40" s="19"/>
      <c r="Q40" s="17"/>
      <c r="R40" s="18"/>
      <c r="S40" s="19"/>
      <c r="T40" s="19"/>
      <c r="U40" s="19"/>
      <c r="V40" s="19"/>
      <c r="W40" s="19"/>
      <c r="X40" s="21" t="str">
        <f t="shared" si="2"/>
        <v/>
      </c>
      <c r="Y40" s="23"/>
      <c r="Z40" s="23"/>
      <c r="AA40" s="24"/>
      <c r="AB40" s="25" t="str">
        <f t="shared" si="3"/>
        <v/>
      </c>
    </row>
    <row r="41" ht="15.75" customHeight="1">
      <c r="A41" s="24"/>
      <c r="B41" s="24"/>
      <c r="C41" s="24"/>
      <c r="D41" s="19"/>
      <c r="E41" s="24"/>
      <c r="F41" s="16"/>
      <c r="G41" s="14"/>
      <c r="H41" s="14"/>
      <c r="I41" s="13" t="str">
        <f t="shared" si="1"/>
        <v/>
      </c>
      <c r="J41" s="14"/>
      <c r="K41" s="14"/>
      <c r="L41" s="15"/>
      <c r="M41" s="16"/>
      <c r="N41" s="24"/>
      <c r="O41" s="19"/>
      <c r="P41" s="19"/>
      <c r="Q41" s="17"/>
      <c r="R41" s="18"/>
      <c r="S41" s="19"/>
      <c r="T41" s="19"/>
      <c r="U41" s="19"/>
      <c r="V41" s="19"/>
      <c r="W41" s="19"/>
      <c r="X41" s="21" t="str">
        <f t="shared" si="2"/>
        <v/>
      </c>
      <c r="Y41" s="23"/>
      <c r="Z41" s="23"/>
      <c r="AA41" s="24"/>
      <c r="AB41" s="25" t="str">
        <f t="shared" si="3"/>
        <v/>
      </c>
    </row>
    <row r="42" ht="15.75" customHeight="1">
      <c r="A42" s="24"/>
      <c r="B42" s="24"/>
      <c r="C42" s="24"/>
      <c r="D42" s="19"/>
      <c r="E42" s="24"/>
      <c r="F42" s="16"/>
      <c r="G42" s="14"/>
      <c r="H42" s="14"/>
      <c r="I42" s="13" t="str">
        <f t="shared" si="1"/>
        <v/>
      </c>
      <c r="J42" s="14"/>
      <c r="K42" s="14"/>
      <c r="L42" s="15"/>
      <c r="M42" s="16"/>
      <c r="N42" s="24"/>
      <c r="O42" s="19"/>
      <c r="P42" s="19"/>
      <c r="Q42" s="17"/>
      <c r="R42" s="18"/>
      <c r="S42" s="19"/>
      <c r="T42" s="19"/>
      <c r="U42" s="19"/>
      <c r="V42" s="19"/>
      <c r="W42" s="19"/>
      <c r="X42" s="21" t="str">
        <f t="shared" si="2"/>
        <v/>
      </c>
      <c r="Y42" s="23"/>
      <c r="Z42" s="23"/>
      <c r="AA42" s="24"/>
      <c r="AB42" s="25" t="str">
        <f t="shared" si="3"/>
        <v/>
      </c>
    </row>
    <row r="43" ht="15.75" customHeight="1">
      <c r="A43" s="24"/>
      <c r="B43" s="24"/>
      <c r="C43" s="24"/>
      <c r="D43" s="19"/>
      <c r="E43" s="24"/>
      <c r="F43" s="16"/>
      <c r="G43" s="14"/>
      <c r="H43" s="14"/>
      <c r="I43" s="13" t="str">
        <f t="shared" si="1"/>
        <v/>
      </c>
      <c r="J43" s="14"/>
      <c r="K43" s="14"/>
      <c r="L43" s="15"/>
      <c r="M43" s="16"/>
      <c r="N43" s="24"/>
      <c r="O43" s="19"/>
      <c r="P43" s="19"/>
      <c r="Q43" s="17"/>
      <c r="R43" s="18"/>
      <c r="S43" s="19"/>
      <c r="T43" s="19"/>
      <c r="U43" s="19"/>
      <c r="V43" s="19"/>
      <c r="W43" s="19"/>
      <c r="X43" s="21" t="str">
        <f t="shared" si="2"/>
        <v/>
      </c>
      <c r="Y43" s="23"/>
      <c r="Z43" s="23"/>
      <c r="AA43" s="24"/>
      <c r="AB43" s="25" t="str">
        <f t="shared" si="3"/>
        <v/>
      </c>
    </row>
    <row r="44" ht="15.75" customHeight="1">
      <c r="A44" s="24"/>
      <c r="B44" s="24"/>
      <c r="C44" s="24"/>
      <c r="D44" s="19"/>
      <c r="E44" s="24"/>
      <c r="F44" s="16"/>
      <c r="G44" s="14"/>
      <c r="H44" s="14"/>
      <c r="I44" s="13" t="str">
        <f t="shared" si="1"/>
        <v/>
      </c>
      <c r="J44" s="14"/>
      <c r="K44" s="14"/>
      <c r="L44" s="15"/>
      <c r="M44" s="16"/>
      <c r="N44" s="24"/>
      <c r="O44" s="19"/>
      <c r="P44" s="19"/>
      <c r="Q44" s="17"/>
      <c r="R44" s="18"/>
      <c r="S44" s="19"/>
      <c r="T44" s="19"/>
      <c r="U44" s="19"/>
      <c r="V44" s="19"/>
      <c r="W44" s="19"/>
      <c r="X44" s="21" t="str">
        <f t="shared" si="2"/>
        <v/>
      </c>
      <c r="Y44" s="23"/>
      <c r="Z44" s="23"/>
      <c r="AA44" s="24"/>
      <c r="AB44" s="25" t="str">
        <f t="shared" si="3"/>
        <v/>
      </c>
    </row>
    <row r="45" ht="15.75" customHeight="1">
      <c r="A45" s="24"/>
      <c r="B45" s="24"/>
      <c r="C45" s="24"/>
      <c r="D45" s="19"/>
      <c r="E45" s="24"/>
      <c r="F45" s="16"/>
      <c r="G45" s="14"/>
      <c r="H45" s="14"/>
      <c r="I45" s="13" t="str">
        <f t="shared" si="1"/>
        <v/>
      </c>
      <c r="J45" s="14"/>
      <c r="K45" s="14"/>
      <c r="L45" s="15"/>
      <c r="M45" s="16"/>
      <c r="N45" s="24"/>
      <c r="O45" s="19"/>
      <c r="P45" s="19"/>
      <c r="Q45" s="17"/>
      <c r="R45" s="18"/>
      <c r="S45" s="19"/>
      <c r="T45" s="19"/>
      <c r="U45" s="19"/>
      <c r="V45" s="19"/>
      <c r="W45" s="19"/>
      <c r="X45" s="21" t="str">
        <f t="shared" si="2"/>
        <v/>
      </c>
      <c r="Y45" s="23"/>
      <c r="Z45" s="23"/>
      <c r="AA45" s="24"/>
      <c r="AB45" s="25" t="str">
        <f t="shared" si="3"/>
        <v/>
      </c>
    </row>
    <row r="46" ht="15.75" customHeight="1">
      <c r="A46" s="24"/>
      <c r="B46" s="24"/>
      <c r="C46" s="24"/>
      <c r="D46" s="19"/>
      <c r="E46" s="24"/>
      <c r="F46" s="16"/>
      <c r="G46" s="14"/>
      <c r="H46" s="14"/>
      <c r="I46" s="13" t="str">
        <f t="shared" si="1"/>
        <v/>
      </c>
      <c r="J46" s="14"/>
      <c r="K46" s="14"/>
      <c r="L46" s="15"/>
      <c r="M46" s="16"/>
      <c r="N46" s="24"/>
      <c r="O46" s="19"/>
      <c r="P46" s="19"/>
      <c r="Q46" s="17"/>
      <c r="R46" s="18"/>
      <c r="S46" s="19"/>
      <c r="T46" s="19"/>
      <c r="U46" s="19"/>
      <c r="V46" s="19"/>
      <c r="W46" s="19"/>
      <c r="X46" s="21" t="str">
        <f t="shared" si="2"/>
        <v/>
      </c>
      <c r="Y46" s="23"/>
      <c r="Z46" s="23"/>
      <c r="AA46" s="24"/>
      <c r="AB46" s="25" t="str">
        <f t="shared" si="3"/>
        <v/>
      </c>
    </row>
    <row r="47" ht="15.75" customHeight="1">
      <c r="A47" s="24"/>
      <c r="B47" s="24"/>
      <c r="C47" s="24"/>
      <c r="D47" s="19"/>
      <c r="E47" s="24"/>
      <c r="F47" s="16"/>
      <c r="G47" s="14"/>
      <c r="H47" s="14"/>
      <c r="I47" s="13" t="str">
        <f t="shared" si="1"/>
        <v/>
      </c>
      <c r="J47" s="14"/>
      <c r="K47" s="14"/>
      <c r="L47" s="15"/>
      <c r="M47" s="16"/>
      <c r="N47" s="24"/>
      <c r="O47" s="19"/>
      <c r="P47" s="19"/>
      <c r="Q47" s="17"/>
      <c r="R47" s="18"/>
      <c r="S47" s="19"/>
      <c r="T47" s="19"/>
      <c r="U47" s="19"/>
      <c r="V47" s="19"/>
      <c r="W47" s="19"/>
      <c r="X47" s="21" t="str">
        <f t="shared" si="2"/>
        <v/>
      </c>
      <c r="Y47" s="23"/>
      <c r="Z47" s="23"/>
      <c r="AA47" s="24"/>
      <c r="AB47" s="25" t="str">
        <f t="shared" si="3"/>
        <v/>
      </c>
    </row>
    <row r="48" ht="15.75" customHeight="1">
      <c r="A48" s="24"/>
      <c r="B48" s="24"/>
      <c r="C48" s="24"/>
      <c r="D48" s="19"/>
      <c r="E48" s="24"/>
      <c r="F48" s="16"/>
      <c r="G48" s="14"/>
      <c r="H48" s="14"/>
      <c r="I48" s="13" t="str">
        <f t="shared" si="1"/>
        <v/>
      </c>
      <c r="J48" s="14"/>
      <c r="K48" s="14"/>
      <c r="L48" s="15"/>
      <c r="M48" s="16"/>
      <c r="N48" s="24"/>
      <c r="O48" s="19"/>
      <c r="P48" s="19"/>
      <c r="Q48" s="17"/>
      <c r="R48" s="18"/>
      <c r="S48" s="19"/>
      <c r="T48" s="19"/>
      <c r="U48" s="19"/>
      <c r="V48" s="19"/>
      <c r="W48" s="19"/>
      <c r="X48" s="21" t="str">
        <f t="shared" si="2"/>
        <v/>
      </c>
      <c r="Y48" s="23"/>
      <c r="Z48" s="23"/>
      <c r="AA48" s="24"/>
      <c r="AB48" s="25" t="str">
        <f t="shared" si="3"/>
        <v/>
      </c>
    </row>
    <row r="49" ht="15.75" customHeight="1">
      <c r="A49" s="24"/>
      <c r="B49" s="24"/>
      <c r="C49" s="24"/>
      <c r="D49" s="19"/>
      <c r="E49" s="24"/>
      <c r="F49" s="16"/>
      <c r="G49" s="14"/>
      <c r="H49" s="14"/>
      <c r="I49" s="13" t="str">
        <f t="shared" si="1"/>
        <v/>
      </c>
      <c r="J49" s="14"/>
      <c r="K49" s="14"/>
      <c r="L49" s="15"/>
      <c r="M49" s="16"/>
      <c r="N49" s="24"/>
      <c r="O49" s="19"/>
      <c r="P49" s="19"/>
      <c r="Q49" s="17"/>
      <c r="R49" s="18"/>
      <c r="S49" s="19"/>
      <c r="T49" s="19"/>
      <c r="U49" s="19"/>
      <c r="V49" s="19"/>
      <c r="W49" s="19"/>
      <c r="X49" s="21" t="str">
        <f t="shared" si="2"/>
        <v/>
      </c>
      <c r="Y49" s="23"/>
      <c r="Z49" s="23"/>
      <c r="AA49" s="24"/>
      <c r="AB49" s="25" t="str">
        <f t="shared" si="3"/>
        <v/>
      </c>
    </row>
    <row r="50" ht="15.75" customHeight="1">
      <c r="A50" s="24"/>
      <c r="B50" s="24"/>
      <c r="C50" s="24"/>
      <c r="D50" s="19"/>
      <c r="E50" s="24"/>
      <c r="F50" s="16"/>
      <c r="G50" s="14"/>
      <c r="H50" s="14"/>
      <c r="I50" s="13" t="str">
        <f t="shared" si="1"/>
        <v/>
      </c>
      <c r="J50" s="14"/>
      <c r="K50" s="14"/>
      <c r="L50" s="15"/>
      <c r="M50" s="16"/>
      <c r="N50" s="24"/>
      <c r="O50" s="19"/>
      <c r="P50" s="19"/>
      <c r="Q50" s="17"/>
      <c r="R50" s="18"/>
      <c r="S50" s="19"/>
      <c r="T50" s="19"/>
      <c r="U50" s="19"/>
      <c r="V50" s="19"/>
      <c r="W50" s="19"/>
      <c r="X50" s="21" t="str">
        <f t="shared" si="2"/>
        <v/>
      </c>
      <c r="Y50" s="23"/>
      <c r="Z50" s="23"/>
      <c r="AA50" s="24"/>
      <c r="AB50" s="25" t="str">
        <f t="shared" si="3"/>
        <v/>
      </c>
    </row>
    <row r="51" ht="15.75" customHeight="1">
      <c r="A51" s="24"/>
      <c r="B51" s="24"/>
      <c r="C51" s="24"/>
      <c r="D51" s="19"/>
      <c r="E51" s="24"/>
      <c r="F51" s="16"/>
      <c r="G51" s="14"/>
      <c r="H51" s="14"/>
      <c r="I51" s="13" t="str">
        <f t="shared" si="1"/>
        <v/>
      </c>
      <c r="J51" s="14"/>
      <c r="K51" s="14"/>
      <c r="L51" s="15"/>
      <c r="M51" s="16"/>
      <c r="N51" s="24"/>
      <c r="O51" s="19"/>
      <c r="P51" s="19"/>
      <c r="Q51" s="17"/>
      <c r="R51" s="18"/>
      <c r="S51" s="19"/>
      <c r="T51" s="19"/>
      <c r="U51" s="19"/>
      <c r="V51" s="19"/>
      <c r="W51" s="19"/>
      <c r="X51" s="21" t="str">
        <f t="shared" si="2"/>
        <v/>
      </c>
      <c r="Y51" s="23"/>
      <c r="Z51" s="23"/>
      <c r="AA51" s="24"/>
      <c r="AB51" s="25" t="str">
        <f t="shared" si="3"/>
        <v/>
      </c>
    </row>
    <row r="52" ht="15.75" customHeight="1">
      <c r="A52" s="24"/>
      <c r="B52" s="24"/>
      <c r="C52" s="24"/>
      <c r="D52" s="19"/>
      <c r="E52" s="24"/>
      <c r="F52" s="16"/>
      <c r="G52" s="14"/>
      <c r="H52" s="14"/>
      <c r="I52" s="13" t="str">
        <f t="shared" si="1"/>
        <v/>
      </c>
      <c r="J52" s="14"/>
      <c r="K52" s="14"/>
      <c r="L52" s="15"/>
      <c r="M52" s="16"/>
      <c r="N52" s="24"/>
      <c r="O52" s="19"/>
      <c r="P52" s="19"/>
      <c r="Q52" s="17"/>
      <c r="R52" s="18"/>
      <c r="S52" s="19"/>
      <c r="T52" s="19"/>
      <c r="U52" s="19"/>
      <c r="V52" s="19"/>
      <c r="W52" s="19"/>
      <c r="X52" s="21" t="str">
        <f t="shared" si="2"/>
        <v/>
      </c>
      <c r="Y52" s="23"/>
      <c r="Z52" s="23"/>
      <c r="AA52" s="24"/>
      <c r="AB52" s="25" t="str">
        <f t="shared" si="3"/>
        <v/>
      </c>
    </row>
    <row r="53" ht="15.75" customHeight="1">
      <c r="A53" s="24"/>
      <c r="B53" s="24"/>
      <c r="C53" s="24"/>
      <c r="D53" s="19"/>
      <c r="E53" s="24"/>
      <c r="F53" s="16"/>
      <c r="G53" s="14"/>
      <c r="H53" s="14"/>
      <c r="I53" s="13" t="str">
        <f t="shared" si="1"/>
        <v/>
      </c>
      <c r="J53" s="14"/>
      <c r="K53" s="14"/>
      <c r="L53" s="15"/>
      <c r="M53" s="16"/>
      <c r="N53" s="24"/>
      <c r="O53" s="19"/>
      <c r="P53" s="19"/>
      <c r="Q53" s="17"/>
      <c r="R53" s="18"/>
      <c r="S53" s="19"/>
      <c r="T53" s="19"/>
      <c r="U53" s="19"/>
      <c r="V53" s="19"/>
      <c r="W53" s="19"/>
      <c r="X53" s="21" t="str">
        <f t="shared" si="2"/>
        <v/>
      </c>
      <c r="Y53" s="23"/>
      <c r="Z53" s="23"/>
      <c r="AA53" s="24"/>
      <c r="AB53" s="25" t="str">
        <f t="shared" si="3"/>
        <v/>
      </c>
    </row>
    <row r="54" ht="15.75" customHeight="1">
      <c r="A54" s="24"/>
      <c r="B54" s="24"/>
      <c r="C54" s="24"/>
      <c r="D54" s="19"/>
      <c r="E54" s="24"/>
      <c r="F54" s="16"/>
      <c r="G54" s="14"/>
      <c r="H54" s="14"/>
      <c r="I54" s="13" t="str">
        <f t="shared" si="1"/>
        <v/>
      </c>
      <c r="J54" s="14"/>
      <c r="K54" s="14"/>
      <c r="L54" s="15"/>
      <c r="M54" s="16"/>
      <c r="N54" s="24"/>
      <c r="O54" s="19"/>
      <c r="P54" s="19"/>
      <c r="Q54" s="17"/>
      <c r="R54" s="18"/>
      <c r="S54" s="19"/>
      <c r="T54" s="19"/>
      <c r="U54" s="19"/>
      <c r="V54" s="19"/>
      <c r="W54" s="19"/>
      <c r="X54" s="21" t="str">
        <f t="shared" si="2"/>
        <v/>
      </c>
      <c r="Y54" s="23"/>
      <c r="Z54" s="23"/>
      <c r="AA54" s="24"/>
      <c r="AB54" s="25" t="str">
        <f t="shared" si="3"/>
        <v/>
      </c>
    </row>
    <row r="55" ht="15.75" customHeight="1">
      <c r="A55" s="24"/>
      <c r="B55" s="24"/>
      <c r="C55" s="24"/>
      <c r="D55" s="19"/>
      <c r="E55" s="24"/>
      <c r="F55" s="16"/>
      <c r="G55" s="14"/>
      <c r="H55" s="14"/>
      <c r="I55" s="13" t="str">
        <f t="shared" si="1"/>
        <v/>
      </c>
      <c r="J55" s="14"/>
      <c r="K55" s="14"/>
      <c r="L55" s="15"/>
      <c r="M55" s="16"/>
      <c r="N55" s="24"/>
      <c r="O55" s="19"/>
      <c r="P55" s="19"/>
      <c r="Q55" s="17"/>
      <c r="R55" s="18"/>
      <c r="S55" s="19"/>
      <c r="T55" s="19"/>
      <c r="U55" s="19"/>
      <c r="V55" s="19"/>
      <c r="W55" s="19"/>
      <c r="X55" s="21" t="str">
        <f t="shared" si="2"/>
        <v/>
      </c>
      <c r="Y55" s="23"/>
      <c r="Z55" s="23"/>
      <c r="AA55" s="24"/>
      <c r="AB55" s="25" t="str">
        <f t="shared" si="3"/>
        <v/>
      </c>
    </row>
    <row r="56" ht="15.75" customHeight="1">
      <c r="A56" s="24"/>
      <c r="B56" s="24"/>
      <c r="C56" s="24"/>
      <c r="D56" s="19"/>
      <c r="E56" s="24"/>
      <c r="F56" s="16"/>
      <c r="G56" s="14"/>
      <c r="H56" s="14"/>
      <c r="I56" s="13" t="str">
        <f t="shared" si="1"/>
        <v/>
      </c>
      <c r="J56" s="14"/>
      <c r="K56" s="14"/>
      <c r="L56" s="15"/>
      <c r="M56" s="16"/>
      <c r="N56" s="24"/>
      <c r="O56" s="19"/>
      <c r="P56" s="19"/>
      <c r="Q56" s="17"/>
      <c r="R56" s="18"/>
      <c r="S56" s="19"/>
      <c r="T56" s="19"/>
      <c r="U56" s="19"/>
      <c r="V56" s="19"/>
      <c r="W56" s="19"/>
      <c r="X56" s="21" t="str">
        <f t="shared" si="2"/>
        <v/>
      </c>
      <c r="Y56" s="23"/>
      <c r="Z56" s="23"/>
      <c r="AA56" s="24"/>
      <c r="AB56" s="25" t="str">
        <f t="shared" si="3"/>
        <v/>
      </c>
    </row>
    <row r="57" ht="15.75" customHeight="1">
      <c r="A57" s="24"/>
      <c r="B57" s="24"/>
      <c r="C57" s="24"/>
      <c r="D57" s="19"/>
      <c r="E57" s="24"/>
      <c r="F57" s="16"/>
      <c r="G57" s="14"/>
      <c r="H57" s="14"/>
      <c r="I57" s="13" t="str">
        <f t="shared" si="1"/>
        <v/>
      </c>
      <c r="J57" s="14"/>
      <c r="K57" s="14"/>
      <c r="L57" s="15"/>
      <c r="M57" s="16"/>
      <c r="N57" s="24"/>
      <c r="O57" s="19"/>
      <c r="P57" s="19"/>
      <c r="Q57" s="17"/>
      <c r="R57" s="18"/>
      <c r="S57" s="19"/>
      <c r="T57" s="19"/>
      <c r="U57" s="19"/>
      <c r="V57" s="19"/>
      <c r="W57" s="19"/>
      <c r="X57" s="21" t="str">
        <f t="shared" si="2"/>
        <v/>
      </c>
      <c r="Y57" s="23"/>
      <c r="Z57" s="23"/>
      <c r="AA57" s="24"/>
      <c r="AB57" s="25" t="str">
        <f t="shared" si="3"/>
        <v/>
      </c>
    </row>
    <row r="58" ht="15.75" customHeight="1">
      <c r="A58" s="24"/>
      <c r="B58" s="24"/>
      <c r="C58" s="24"/>
      <c r="D58" s="19"/>
      <c r="E58" s="24"/>
      <c r="F58" s="16"/>
      <c r="G58" s="14"/>
      <c r="H58" s="14"/>
      <c r="I58" s="13" t="str">
        <f t="shared" si="1"/>
        <v/>
      </c>
      <c r="J58" s="14"/>
      <c r="K58" s="14"/>
      <c r="L58" s="15"/>
      <c r="M58" s="16"/>
      <c r="N58" s="24"/>
      <c r="O58" s="19"/>
      <c r="P58" s="19"/>
      <c r="Q58" s="17"/>
      <c r="R58" s="18"/>
      <c r="S58" s="19"/>
      <c r="T58" s="19"/>
      <c r="U58" s="19"/>
      <c r="V58" s="19"/>
      <c r="W58" s="19"/>
      <c r="X58" s="21" t="str">
        <f t="shared" si="2"/>
        <v/>
      </c>
      <c r="Y58" s="23"/>
      <c r="Z58" s="23"/>
      <c r="AA58" s="24"/>
      <c r="AB58" s="25" t="str">
        <f t="shared" si="3"/>
        <v/>
      </c>
    </row>
    <row r="59" ht="15.75" customHeight="1">
      <c r="A59" s="24"/>
      <c r="B59" s="24"/>
      <c r="C59" s="24"/>
      <c r="D59" s="19"/>
      <c r="E59" s="24"/>
      <c r="F59" s="16"/>
      <c r="G59" s="14"/>
      <c r="H59" s="14"/>
      <c r="I59" s="13" t="str">
        <f t="shared" si="1"/>
        <v/>
      </c>
      <c r="J59" s="14"/>
      <c r="K59" s="14"/>
      <c r="L59" s="15"/>
      <c r="M59" s="16"/>
      <c r="N59" s="24"/>
      <c r="O59" s="19"/>
      <c r="P59" s="19"/>
      <c r="Q59" s="17"/>
      <c r="R59" s="18"/>
      <c r="S59" s="19"/>
      <c r="T59" s="19"/>
      <c r="U59" s="19"/>
      <c r="V59" s="19"/>
      <c r="W59" s="19"/>
      <c r="X59" s="21" t="str">
        <f t="shared" si="2"/>
        <v/>
      </c>
      <c r="Y59" s="23"/>
      <c r="Z59" s="23"/>
      <c r="AA59" s="24"/>
      <c r="AB59" s="25" t="str">
        <f t="shared" si="3"/>
        <v/>
      </c>
    </row>
    <row r="60" ht="15.75" customHeight="1">
      <c r="A60" s="24"/>
      <c r="B60" s="24"/>
      <c r="C60" s="24"/>
      <c r="D60" s="19"/>
      <c r="E60" s="24"/>
      <c r="F60" s="16"/>
      <c r="G60" s="14"/>
      <c r="H60" s="14"/>
      <c r="I60" s="13" t="str">
        <f t="shared" si="1"/>
        <v/>
      </c>
      <c r="J60" s="14"/>
      <c r="K60" s="14"/>
      <c r="L60" s="15"/>
      <c r="M60" s="16"/>
      <c r="N60" s="24"/>
      <c r="O60" s="19"/>
      <c r="P60" s="19"/>
      <c r="Q60" s="17"/>
      <c r="R60" s="18"/>
      <c r="S60" s="19"/>
      <c r="T60" s="19"/>
      <c r="U60" s="19"/>
      <c r="V60" s="19"/>
      <c r="W60" s="19"/>
      <c r="X60" s="21" t="str">
        <f t="shared" si="2"/>
        <v/>
      </c>
      <c r="Y60" s="23"/>
      <c r="Z60" s="23"/>
      <c r="AA60" s="24"/>
      <c r="AB60" s="25" t="str">
        <f t="shared" si="3"/>
        <v/>
      </c>
    </row>
    <row r="61" ht="15.75" customHeight="1">
      <c r="A61" s="24"/>
      <c r="B61" s="24"/>
      <c r="C61" s="24"/>
      <c r="D61" s="19"/>
      <c r="E61" s="24"/>
      <c r="F61" s="16"/>
      <c r="G61" s="14"/>
      <c r="H61" s="14"/>
      <c r="I61" s="13" t="str">
        <f t="shared" si="1"/>
        <v/>
      </c>
      <c r="J61" s="14"/>
      <c r="K61" s="14"/>
      <c r="L61" s="15"/>
      <c r="M61" s="16"/>
      <c r="N61" s="24"/>
      <c r="O61" s="19"/>
      <c r="P61" s="19"/>
      <c r="Q61" s="17"/>
      <c r="R61" s="18"/>
      <c r="S61" s="19"/>
      <c r="T61" s="19"/>
      <c r="U61" s="19"/>
      <c r="V61" s="19"/>
      <c r="W61" s="19"/>
      <c r="X61" s="21" t="str">
        <f t="shared" si="2"/>
        <v/>
      </c>
      <c r="Y61" s="23"/>
      <c r="Z61" s="23"/>
      <c r="AA61" s="24"/>
      <c r="AB61" s="25" t="str">
        <f t="shared" si="3"/>
        <v/>
      </c>
    </row>
    <row r="62" ht="15.75" customHeight="1">
      <c r="A62" s="24"/>
      <c r="B62" s="24"/>
      <c r="C62" s="24"/>
      <c r="D62" s="19"/>
      <c r="E62" s="24"/>
      <c r="F62" s="16"/>
      <c r="G62" s="14"/>
      <c r="H62" s="14"/>
      <c r="I62" s="13" t="str">
        <f t="shared" si="1"/>
        <v/>
      </c>
      <c r="J62" s="14"/>
      <c r="K62" s="14"/>
      <c r="L62" s="15"/>
      <c r="M62" s="16"/>
      <c r="N62" s="24"/>
      <c r="O62" s="19"/>
      <c r="P62" s="19"/>
      <c r="Q62" s="17"/>
      <c r="R62" s="18"/>
      <c r="S62" s="19"/>
      <c r="T62" s="19"/>
      <c r="U62" s="19"/>
      <c r="V62" s="19"/>
      <c r="W62" s="19"/>
      <c r="X62" s="21" t="str">
        <f t="shared" si="2"/>
        <v/>
      </c>
      <c r="Y62" s="23"/>
      <c r="Z62" s="23"/>
      <c r="AA62" s="24"/>
      <c r="AB62" s="25" t="str">
        <f t="shared" si="3"/>
        <v/>
      </c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I3:I62">
    <cfRule type="expression" dxfId="0" priority="1">
      <formula>AND(ISNUMBER($I3),$I3&gt;$B$1)</formula>
    </cfRule>
  </conditionalFormatting>
  <conditionalFormatting sqref="D3:D62">
    <cfRule type="expression" dxfId="1" priority="2">
      <formula>$D3="To call"</formula>
    </cfRule>
  </conditionalFormatting>
  <conditionalFormatting sqref="D3:D62">
    <cfRule type="expression" dxfId="2" priority="3">
      <formula>$D3="Visit scheduled"</formula>
    </cfRule>
  </conditionalFormatting>
  <conditionalFormatting sqref="D3:D62">
    <cfRule type="expression" dxfId="3" priority="4">
      <formula>$D3="Visited"</formula>
    </cfRule>
  </conditionalFormatting>
  <conditionalFormatting sqref="D3:D62">
    <cfRule type="expression" dxfId="4" priority="5">
      <formula>$D3="Shortlisted"</formula>
    </cfRule>
  </conditionalFormatting>
  <conditionalFormatting sqref="D3:D62">
    <cfRule type="expression" dxfId="5" priority="6">
      <formula>$D3="Rejected"</formula>
    </cfRule>
  </conditionalFormatting>
  <dataValidations>
    <dataValidation type="decimal" allowBlank="1" showInputMessage="1" showErrorMessage="1" prompt="Rating - Enter a number from 1 to 5." sqref="S3:W62">
      <formula1>1.0</formula1>
      <formula2>5.0</formula2>
    </dataValidation>
    <dataValidation type="list" allowBlank="1" showErrorMessage="1" sqref="O3:P62">
      <formula1>"Yes,No"</formula1>
    </dataValidation>
    <dataValidation type="list" allowBlank="1" showErrorMessage="1" sqref="C3:C62">
      <formula1>"2BHK,3BHK"</formula1>
    </dataValidation>
    <dataValidation type="list" allowBlank="1" showErrorMessage="1" sqref="N3:N62">
      <formula1>"Unfurnished,Semi-furnished,Fully furnished"</formula1>
    </dataValidation>
    <dataValidation type="list" allowBlank="1" showErrorMessage="1" sqref="D3:D62">
      <formula1>"To call,Visit scheduled,Visited,Shortlisted,Rejected"</formula1>
    </dataValidation>
  </dataValidations>
  <hyperlinks>
    <hyperlink r:id="rId1" ref="A17"/>
    <hyperlink r:id="rId2" ref="A18"/>
  </hyperlinks>
  <printOptions/>
  <pageMargins bottom="1.0" footer="0.0" header="0.0" left="0.75" right="0.75" top="1.0"/>
  <pageSetup orientation="landscape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28.0"/>
    <col customWidth="1" min="2" max="9" width="26.0"/>
    <col customWidth="1" min="10" max="26" width="8.71"/>
  </cols>
  <sheetData>
    <row r="1" ht="24.0" customHeight="1">
      <c r="A1" s="4" t="s">
        <v>1</v>
      </c>
      <c r="B1" s="6">
        <v>1.0</v>
      </c>
      <c r="C1" s="6">
        <v>2.0</v>
      </c>
      <c r="D1" s="6">
        <v>3.0</v>
      </c>
      <c r="E1" s="6">
        <v>4.0</v>
      </c>
      <c r="F1" s="6">
        <v>5.0</v>
      </c>
      <c r="G1" s="6">
        <v>6.0</v>
      </c>
      <c r="H1" s="6">
        <v>7.0</v>
      </c>
      <c r="I1" s="6">
        <v>8.0</v>
      </c>
    </row>
    <row r="2">
      <c r="A2" s="7" t="s">
        <v>15</v>
      </c>
      <c r="B2" s="11" t="str">
        <f>IFERROR(MATCH(B$1,'Apartment Tracker'!$AB$3:$AB$62,0),"")</f>
        <v/>
      </c>
      <c r="C2" s="11" t="str">
        <f>IFERROR(MATCH(C$1,'Apartment Tracker'!$AB$3:$AB$62,0),"")</f>
        <v/>
      </c>
      <c r="D2" s="11" t="str">
        <f>IFERROR(MATCH(D$1,'Apartment Tracker'!$AB$3:$AB$62,0),"")</f>
        <v/>
      </c>
      <c r="E2" s="11" t="str">
        <f>IFERROR(MATCH(E$1,'Apartment Tracker'!$AB$3:$AB$62,0),"")</f>
        <v/>
      </c>
      <c r="F2" s="11" t="str">
        <f>IFERROR(MATCH(F$1,'Apartment Tracker'!$AB$3:$AB$62,0),"")</f>
        <v/>
      </c>
      <c r="G2" s="11" t="str">
        <f>IFERROR(MATCH(G$1,'Apartment Tracker'!$AB$3:$AB$62,0),"")</f>
        <v/>
      </c>
      <c r="H2" s="11" t="str">
        <f>IFERROR(MATCH(H$1,'Apartment Tracker'!$AB$3:$AB$62,0),"")</f>
        <v/>
      </c>
      <c r="I2" s="11" t="str">
        <f>IFERROR(MATCH(I$1,'Apartment Tracker'!$AB$3:$AB$62,0),"")</f>
        <v/>
      </c>
    </row>
    <row r="3">
      <c r="A3" s="20" t="s">
        <v>3</v>
      </c>
      <c r="B3" s="24" t="str">
        <f t="array" ref="B3">IF(B$2="","",IF(INDEX('Apartment Tracker'!$A$3:$A$62,B$2)="","",INDEX('Apartment Tracker'!$A$3:$A$62,B$2)))</f>
        <v/>
      </c>
      <c r="C3" s="24" t="str">
        <f t="array" ref="C3">IF(C$2="","",IF(INDEX('Apartment Tracker'!$A$3:$A$62,C$2)="","",INDEX('Apartment Tracker'!$A$3:$A$62,C$2)))</f>
        <v/>
      </c>
      <c r="D3" s="24" t="str">
        <f t="array" ref="D3">IF(D$2="","",IF(INDEX('Apartment Tracker'!$A$3:$A$62,D$2)="","",INDEX('Apartment Tracker'!$A$3:$A$62,D$2)))</f>
        <v/>
      </c>
      <c r="E3" s="24" t="str">
        <f t="array" ref="E3">IF(E$2="","",IF(INDEX('Apartment Tracker'!$A$3:$A$62,E$2)="","",INDEX('Apartment Tracker'!$A$3:$A$62,E$2)))</f>
        <v/>
      </c>
      <c r="F3" s="24" t="str">
        <f t="array" ref="F3">IF(F$2="","",IF(INDEX('Apartment Tracker'!$A$3:$A$62,F$2)="","",INDEX('Apartment Tracker'!$A$3:$A$62,F$2)))</f>
        <v/>
      </c>
      <c r="G3" s="24" t="str">
        <f t="array" ref="G3">IF(G$2="","",IF(INDEX('Apartment Tracker'!$A$3:$A$62,G$2)="","",INDEX('Apartment Tracker'!$A$3:$A$62,G$2)))</f>
        <v/>
      </c>
      <c r="H3" s="24" t="str">
        <f t="array" ref="H3">IF(H$2="","",IF(INDEX('Apartment Tracker'!$A$3:$A$62,H$2)="","",INDEX('Apartment Tracker'!$A$3:$A$62,H$2)))</f>
        <v/>
      </c>
      <c r="I3" s="24" t="str">
        <f t="array" ref="I3">IF(I$2="","",IF(INDEX('Apartment Tracker'!$A$3:$A$62,I$2)="","",INDEX('Apartment Tracker'!$A$3:$A$62,I$2)))</f>
        <v/>
      </c>
    </row>
    <row r="4">
      <c r="A4" s="20" t="s">
        <v>4</v>
      </c>
      <c r="B4" s="24" t="str">
        <f t="array" ref="B4">IF(B$2="","",IF(INDEX('Apartment Tracker'!$B$3:$B$62,B$2)="","",INDEX('Apartment Tracker'!$B$3:$B$62,B$2)))</f>
        <v/>
      </c>
      <c r="C4" s="24" t="str">
        <f t="array" ref="C4">IF(C$2="","",IF(INDEX('Apartment Tracker'!$B$3:$B$62,C$2)="","",INDEX('Apartment Tracker'!$B$3:$B$62,C$2)))</f>
        <v/>
      </c>
      <c r="D4" s="24" t="str">
        <f t="array" ref="D4">IF(D$2="","",IF(INDEX('Apartment Tracker'!$B$3:$B$62,D$2)="","",INDEX('Apartment Tracker'!$B$3:$B$62,D$2)))</f>
        <v/>
      </c>
      <c r="E4" s="24" t="str">
        <f t="array" ref="E4">IF(E$2="","",IF(INDEX('Apartment Tracker'!$B$3:$B$62,E$2)="","",INDEX('Apartment Tracker'!$B$3:$B$62,E$2)))</f>
        <v/>
      </c>
      <c r="F4" s="24" t="str">
        <f t="array" ref="F4">IF(F$2="","",IF(INDEX('Apartment Tracker'!$B$3:$B$62,F$2)="","",INDEX('Apartment Tracker'!$B$3:$B$62,F$2)))</f>
        <v/>
      </c>
      <c r="G4" s="24" t="str">
        <f t="array" ref="G4">IF(G$2="","",IF(INDEX('Apartment Tracker'!$B$3:$B$62,G$2)="","",INDEX('Apartment Tracker'!$B$3:$B$62,G$2)))</f>
        <v/>
      </c>
      <c r="H4" s="24" t="str">
        <f t="array" ref="H4">IF(H$2="","",IF(INDEX('Apartment Tracker'!$B$3:$B$62,H$2)="","",INDEX('Apartment Tracker'!$B$3:$B$62,H$2)))</f>
        <v/>
      </c>
      <c r="I4" s="24" t="str">
        <f t="array" ref="I4">IF(I$2="","",IF(INDEX('Apartment Tracker'!$B$3:$B$62,I$2)="","",INDEX('Apartment Tracker'!$B$3:$B$62,I$2)))</f>
        <v/>
      </c>
    </row>
    <row r="5">
      <c r="A5" s="20" t="s">
        <v>5</v>
      </c>
      <c r="B5" s="19" t="str">
        <f t="array" ref="B5">IF(B$2="","",IF(INDEX('Apartment Tracker'!$C$3:$C$62,B$2)="","",INDEX('Apartment Tracker'!$C$3:$C$62,B$2)))</f>
        <v/>
      </c>
      <c r="C5" s="19" t="str">
        <f t="array" ref="C5">IF(C$2="","",IF(INDEX('Apartment Tracker'!$C$3:$C$62,C$2)="","",INDEX('Apartment Tracker'!$C$3:$C$62,C$2)))</f>
        <v/>
      </c>
      <c r="D5" s="19" t="str">
        <f t="array" ref="D5">IF(D$2="","",IF(INDEX('Apartment Tracker'!$C$3:$C$62,D$2)="","",INDEX('Apartment Tracker'!$C$3:$C$62,D$2)))</f>
        <v/>
      </c>
      <c r="E5" s="19" t="str">
        <f t="array" ref="E5">IF(E$2="","",IF(INDEX('Apartment Tracker'!$C$3:$C$62,E$2)="","",INDEX('Apartment Tracker'!$C$3:$C$62,E$2)))</f>
        <v/>
      </c>
      <c r="F5" s="19" t="str">
        <f t="array" ref="F5">IF(F$2="","",IF(INDEX('Apartment Tracker'!$C$3:$C$62,F$2)="","",INDEX('Apartment Tracker'!$C$3:$C$62,F$2)))</f>
        <v/>
      </c>
      <c r="G5" s="19" t="str">
        <f t="array" ref="G5">IF(G$2="","",IF(INDEX('Apartment Tracker'!$C$3:$C$62,G$2)="","",INDEX('Apartment Tracker'!$C$3:$C$62,G$2)))</f>
        <v/>
      </c>
      <c r="H5" s="19" t="str">
        <f t="array" ref="H5">IF(H$2="","",IF(INDEX('Apartment Tracker'!$C$3:$C$62,H$2)="","",INDEX('Apartment Tracker'!$C$3:$C$62,H$2)))</f>
        <v/>
      </c>
      <c r="I5" s="19" t="str">
        <f t="array" ref="I5">IF(I$2="","",IF(INDEX('Apartment Tracker'!$C$3:$C$62,I$2)="","",INDEX('Apartment Tracker'!$C$3:$C$62,I$2)))</f>
        <v/>
      </c>
    </row>
    <row r="6">
      <c r="A6" s="20" t="s">
        <v>7</v>
      </c>
      <c r="B6" s="24" t="str">
        <f t="array" ref="B6">IF(B$2="","",IF(INDEX('Apartment Tracker'!$E$3:$E$62,B$2)="","",INDEX('Apartment Tracker'!$E$3:$E$62,B$2)))</f>
        <v/>
      </c>
      <c r="C6" s="24" t="str">
        <f t="array" ref="C6">IF(C$2="","",IF(INDEX('Apartment Tracker'!$E$3:$E$62,C$2)="","",INDEX('Apartment Tracker'!$E$3:$E$62,C$2)))</f>
        <v/>
      </c>
      <c r="D6" s="24" t="str">
        <f t="array" ref="D6">IF(D$2="","",IF(INDEX('Apartment Tracker'!$E$3:$E$62,D$2)="","",INDEX('Apartment Tracker'!$E$3:$E$62,D$2)))</f>
        <v/>
      </c>
      <c r="E6" s="24" t="str">
        <f t="array" ref="E6">IF(E$2="","",IF(INDEX('Apartment Tracker'!$E$3:$E$62,E$2)="","",INDEX('Apartment Tracker'!$E$3:$E$62,E$2)))</f>
        <v/>
      </c>
      <c r="F6" s="24" t="str">
        <f t="array" ref="F6">IF(F$2="","",IF(INDEX('Apartment Tracker'!$E$3:$E$62,F$2)="","",INDEX('Apartment Tracker'!$E$3:$E$62,F$2)))</f>
        <v/>
      </c>
      <c r="G6" s="24" t="str">
        <f t="array" ref="G6">IF(G$2="","",IF(INDEX('Apartment Tracker'!$E$3:$E$62,G$2)="","",INDEX('Apartment Tracker'!$E$3:$E$62,G$2)))</f>
        <v/>
      </c>
      <c r="H6" s="24" t="str">
        <f t="array" ref="H6">IF(H$2="","",IF(INDEX('Apartment Tracker'!$E$3:$E$62,H$2)="","",INDEX('Apartment Tracker'!$E$3:$E$62,H$2)))</f>
        <v/>
      </c>
      <c r="I6" s="24" t="str">
        <f t="array" ref="I6">IF(I$2="","",IF(INDEX('Apartment Tracker'!$E$3:$E$62,I$2)="","",INDEX('Apartment Tracker'!$E$3:$E$62,I$2)))</f>
        <v/>
      </c>
    </row>
    <row r="7">
      <c r="A7" s="20" t="s">
        <v>8</v>
      </c>
      <c r="B7" s="19" t="str">
        <f t="array" ref="B7">IF(B$2="","",IF(INDEX('Apartment Tracker'!$F$3:$F$62,B$2)="","",INDEX('Apartment Tracker'!$F$3:$F$62,B$2)))</f>
        <v/>
      </c>
      <c r="C7" s="19" t="str">
        <f t="array" ref="C7">IF(C$2="","",IF(INDEX('Apartment Tracker'!$F$3:$F$62,C$2)="","",INDEX('Apartment Tracker'!$F$3:$F$62,C$2)))</f>
        <v/>
      </c>
      <c r="D7" s="19" t="str">
        <f t="array" ref="D7">IF(D$2="","",IF(INDEX('Apartment Tracker'!$F$3:$F$62,D$2)="","",INDEX('Apartment Tracker'!$F$3:$F$62,D$2)))</f>
        <v/>
      </c>
      <c r="E7" s="19" t="str">
        <f t="array" ref="E7">IF(E$2="","",IF(INDEX('Apartment Tracker'!$F$3:$F$62,E$2)="","",INDEX('Apartment Tracker'!$F$3:$F$62,E$2)))</f>
        <v/>
      </c>
      <c r="F7" s="19" t="str">
        <f t="array" ref="F7">IF(F$2="","",IF(INDEX('Apartment Tracker'!$F$3:$F$62,F$2)="","",INDEX('Apartment Tracker'!$F$3:$F$62,F$2)))</f>
        <v/>
      </c>
      <c r="G7" s="19" t="str">
        <f t="array" ref="G7">IF(G$2="","",IF(INDEX('Apartment Tracker'!$F$3:$F$62,G$2)="","",INDEX('Apartment Tracker'!$F$3:$F$62,G$2)))</f>
        <v/>
      </c>
      <c r="H7" s="19" t="str">
        <f t="array" ref="H7">IF(H$2="","",IF(INDEX('Apartment Tracker'!$F$3:$F$62,H$2)="","",INDEX('Apartment Tracker'!$F$3:$F$62,H$2)))</f>
        <v/>
      </c>
      <c r="I7" s="19" t="str">
        <f t="array" ref="I7">IF(I$2="","",IF(INDEX('Apartment Tracker'!$F$3:$F$62,I$2)="","",INDEX('Apartment Tracker'!$F$3:$F$62,I$2)))</f>
        <v/>
      </c>
    </row>
    <row r="8">
      <c r="A8" s="20" t="s">
        <v>9</v>
      </c>
      <c r="B8" s="27" t="str">
        <f t="array" ref="B8">IF(B$2="","",IF(INDEX('Apartment Tracker'!$G$3:$G$62,B$2)="","",INDEX('Apartment Tracker'!$G$3:$G$62,B$2)))</f>
        <v/>
      </c>
      <c r="C8" s="27" t="str">
        <f t="array" ref="C8">IF(C$2="","",IF(INDEX('Apartment Tracker'!$G$3:$G$62,C$2)="","",INDEX('Apartment Tracker'!$G$3:$G$62,C$2)))</f>
        <v/>
      </c>
      <c r="D8" s="27" t="str">
        <f t="array" ref="D8">IF(D$2="","",IF(INDEX('Apartment Tracker'!$G$3:$G$62,D$2)="","",INDEX('Apartment Tracker'!$G$3:$G$62,D$2)))</f>
        <v/>
      </c>
      <c r="E8" s="27" t="str">
        <f t="array" ref="E8">IF(E$2="","",IF(INDEX('Apartment Tracker'!$G$3:$G$62,E$2)="","",INDEX('Apartment Tracker'!$G$3:$G$62,E$2)))</f>
        <v/>
      </c>
      <c r="F8" s="27" t="str">
        <f t="array" ref="F8">IF(F$2="","",IF(INDEX('Apartment Tracker'!$G$3:$G$62,F$2)="","",INDEX('Apartment Tracker'!$G$3:$G$62,F$2)))</f>
        <v/>
      </c>
      <c r="G8" s="27" t="str">
        <f t="array" ref="G8">IF(G$2="","",IF(INDEX('Apartment Tracker'!$G$3:$G$62,G$2)="","",INDEX('Apartment Tracker'!$G$3:$G$62,G$2)))</f>
        <v/>
      </c>
      <c r="H8" s="27" t="str">
        <f t="array" ref="H8">IF(H$2="","",IF(INDEX('Apartment Tracker'!$G$3:$G$62,H$2)="","",INDEX('Apartment Tracker'!$G$3:$G$62,H$2)))</f>
        <v/>
      </c>
      <c r="I8" s="27" t="str">
        <f t="array" ref="I8">IF(I$2="","",IF(INDEX('Apartment Tracker'!$G$3:$G$62,I$2)="","",INDEX('Apartment Tracker'!$G$3:$G$62,I$2)))</f>
        <v/>
      </c>
    </row>
    <row r="9">
      <c r="A9" s="20" t="s">
        <v>10</v>
      </c>
      <c r="B9" s="27" t="str">
        <f t="array" ref="B9">IF(B$2="","",IF(INDEX('Apartment Tracker'!$H$3:$H$62,B$2)="","",INDEX('Apartment Tracker'!$H$3:$H$62,B$2)))</f>
        <v/>
      </c>
      <c r="C9" s="27" t="str">
        <f t="array" ref="C9">IF(C$2="","",IF(INDEX('Apartment Tracker'!$H$3:$H$62,C$2)="","",INDEX('Apartment Tracker'!$H$3:$H$62,C$2)))</f>
        <v/>
      </c>
      <c r="D9" s="27" t="str">
        <f t="array" ref="D9">IF(D$2="","",IF(INDEX('Apartment Tracker'!$H$3:$H$62,D$2)="","",INDEX('Apartment Tracker'!$H$3:$H$62,D$2)))</f>
        <v/>
      </c>
      <c r="E9" s="27" t="str">
        <f t="array" ref="E9">IF(E$2="","",IF(INDEX('Apartment Tracker'!$H$3:$H$62,E$2)="","",INDEX('Apartment Tracker'!$H$3:$H$62,E$2)))</f>
        <v/>
      </c>
      <c r="F9" s="27" t="str">
        <f t="array" ref="F9">IF(F$2="","",IF(INDEX('Apartment Tracker'!$H$3:$H$62,F$2)="","",INDEX('Apartment Tracker'!$H$3:$H$62,F$2)))</f>
        <v/>
      </c>
      <c r="G9" s="27" t="str">
        <f t="array" ref="G9">IF(G$2="","",IF(INDEX('Apartment Tracker'!$H$3:$H$62,G$2)="","",INDEX('Apartment Tracker'!$H$3:$H$62,G$2)))</f>
        <v/>
      </c>
      <c r="H9" s="27" t="str">
        <f t="array" ref="H9">IF(H$2="","",IF(INDEX('Apartment Tracker'!$H$3:$H$62,H$2)="","",INDEX('Apartment Tracker'!$H$3:$H$62,H$2)))</f>
        <v/>
      </c>
      <c r="I9" s="27" t="str">
        <f t="array" ref="I9">IF(I$2="","",IF(INDEX('Apartment Tracker'!$H$3:$H$62,I$2)="","",INDEX('Apartment Tracker'!$H$3:$H$62,I$2)))</f>
        <v/>
      </c>
    </row>
    <row r="10">
      <c r="A10" s="20" t="s">
        <v>11</v>
      </c>
      <c r="B10" s="27" t="str">
        <f t="array" ref="B10">IF(B$2="","",IF(INDEX('Apartment Tracker'!$I$3:$I$62,B$2)="","",INDEX('Apartment Tracker'!$I$3:$I$62,B$2)))</f>
        <v/>
      </c>
      <c r="C10" s="27" t="str">
        <f t="array" ref="C10">IF(C$2="","",IF(INDEX('Apartment Tracker'!$I$3:$I$62,C$2)="","",INDEX('Apartment Tracker'!$I$3:$I$62,C$2)))</f>
        <v/>
      </c>
      <c r="D10" s="27" t="str">
        <f t="array" ref="D10">IF(D$2="","",IF(INDEX('Apartment Tracker'!$I$3:$I$62,D$2)="","",INDEX('Apartment Tracker'!$I$3:$I$62,D$2)))</f>
        <v/>
      </c>
      <c r="E10" s="27" t="str">
        <f t="array" ref="E10">IF(E$2="","",IF(INDEX('Apartment Tracker'!$I$3:$I$62,E$2)="","",INDEX('Apartment Tracker'!$I$3:$I$62,E$2)))</f>
        <v/>
      </c>
      <c r="F10" s="27" t="str">
        <f t="array" ref="F10">IF(F$2="","",IF(INDEX('Apartment Tracker'!$I$3:$I$62,F$2)="","",INDEX('Apartment Tracker'!$I$3:$I$62,F$2)))</f>
        <v/>
      </c>
      <c r="G10" s="27" t="str">
        <f t="array" ref="G10">IF(G$2="","",IF(INDEX('Apartment Tracker'!$I$3:$I$62,G$2)="","",INDEX('Apartment Tracker'!$I$3:$I$62,G$2)))</f>
        <v/>
      </c>
      <c r="H10" s="27" t="str">
        <f t="array" ref="H10">IF(H$2="","",IF(INDEX('Apartment Tracker'!$I$3:$I$62,H$2)="","",INDEX('Apartment Tracker'!$I$3:$I$62,H$2)))</f>
        <v/>
      </c>
      <c r="I10" s="27" t="str">
        <f t="array" ref="I10">IF(I$2="","",IF(INDEX('Apartment Tracker'!$I$3:$I$62,I$2)="","",INDEX('Apartment Tracker'!$I$3:$I$62,I$2)))</f>
        <v/>
      </c>
    </row>
    <row r="11">
      <c r="A11" s="20" t="s">
        <v>12</v>
      </c>
      <c r="B11" s="27" t="str">
        <f t="array" ref="B11">IF(B$2="","",IF(INDEX('Apartment Tracker'!$J$3:$J$62,B$2)="","",INDEX('Apartment Tracker'!$J$3:$J$62,B$2)))</f>
        <v/>
      </c>
      <c r="C11" s="27" t="str">
        <f t="array" ref="C11">IF(C$2="","",IF(INDEX('Apartment Tracker'!$J$3:$J$62,C$2)="","",INDEX('Apartment Tracker'!$J$3:$J$62,C$2)))</f>
        <v/>
      </c>
      <c r="D11" s="27" t="str">
        <f t="array" ref="D11">IF(D$2="","",IF(INDEX('Apartment Tracker'!$J$3:$J$62,D$2)="","",INDEX('Apartment Tracker'!$J$3:$J$62,D$2)))</f>
        <v/>
      </c>
      <c r="E11" s="27" t="str">
        <f t="array" ref="E11">IF(E$2="","",IF(INDEX('Apartment Tracker'!$J$3:$J$62,E$2)="","",INDEX('Apartment Tracker'!$J$3:$J$62,E$2)))</f>
        <v/>
      </c>
      <c r="F11" s="27" t="str">
        <f t="array" ref="F11">IF(F$2="","",IF(INDEX('Apartment Tracker'!$J$3:$J$62,F$2)="","",INDEX('Apartment Tracker'!$J$3:$J$62,F$2)))</f>
        <v/>
      </c>
      <c r="G11" s="27" t="str">
        <f t="array" ref="G11">IF(G$2="","",IF(INDEX('Apartment Tracker'!$J$3:$J$62,G$2)="","",INDEX('Apartment Tracker'!$J$3:$J$62,G$2)))</f>
        <v/>
      </c>
      <c r="H11" s="27" t="str">
        <f t="array" ref="H11">IF(H$2="","",IF(INDEX('Apartment Tracker'!$J$3:$J$62,H$2)="","",INDEX('Apartment Tracker'!$J$3:$J$62,H$2)))</f>
        <v/>
      </c>
      <c r="I11" s="27" t="str">
        <f t="array" ref="I11">IF(I$2="","",IF(INDEX('Apartment Tracker'!$J$3:$J$62,I$2)="","",INDEX('Apartment Tracker'!$J$3:$J$62,I$2)))</f>
        <v/>
      </c>
    </row>
    <row r="12">
      <c r="A12" s="20" t="s">
        <v>13</v>
      </c>
      <c r="B12" s="27" t="str">
        <f t="array" ref="B12">IF(B$2="","",IF(INDEX('Apartment Tracker'!$K$3:$K$62,B$2)="","",INDEX('Apartment Tracker'!$K$3:$K$62,B$2)))</f>
        <v/>
      </c>
      <c r="C12" s="27" t="str">
        <f t="array" ref="C12">IF(C$2="","",IF(INDEX('Apartment Tracker'!$K$3:$K$62,C$2)="","",INDEX('Apartment Tracker'!$K$3:$K$62,C$2)))</f>
        <v/>
      </c>
      <c r="D12" s="27" t="str">
        <f t="array" ref="D12">IF(D$2="","",IF(INDEX('Apartment Tracker'!$K$3:$K$62,D$2)="","",INDEX('Apartment Tracker'!$K$3:$K$62,D$2)))</f>
        <v/>
      </c>
      <c r="E12" s="27" t="str">
        <f t="array" ref="E12">IF(E$2="","",IF(INDEX('Apartment Tracker'!$K$3:$K$62,E$2)="","",INDEX('Apartment Tracker'!$K$3:$K$62,E$2)))</f>
        <v/>
      </c>
      <c r="F12" s="27" t="str">
        <f t="array" ref="F12">IF(F$2="","",IF(INDEX('Apartment Tracker'!$K$3:$K$62,F$2)="","",INDEX('Apartment Tracker'!$K$3:$K$62,F$2)))</f>
        <v/>
      </c>
      <c r="G12" s="27" t="str">
        <f t="array" ref="G12">IF(G$2="","",IF(INDEX('Apartment Tracker'!$K$3:$K$62,G$2)="","",INDEX('Apartment Tracker'!$K$3:$K$62,G$2)))</f>
        <v/>
      </c>
      <c r="H12" s="27" t="str">
        <f t="array" ref="H12">IF(H$2="","",IF(INDEX('Apartment Tracker'!$K$3:$K$62,H$2)="","",INDEX('Apartment Tracker'!$K$3:$K$62,H$2)))</f>
        <v/>
      </c>
      <c r="I12" s="27" t="str">
        <f t="array" ref="I12">IF(I$2="","",IF(INDEX('Apartment Tracker'!$K$3:$K$62,I$2)="","",INDEX('Apartment Tracker'!$K$3:$K$62,I$2)))</f>
        <v/>
      </c>
    </row>
    <row r="13">
      <c r="A13" s="20" t="s">
        <v>14</v>
      </c>
      <c r="B13" s="28" t="str">
        <f t="array" ref="B13">IF(B$2="","",IF(INDEX('Apartment Tracker'!$L$3:$L$62,B$2)="","",INDEX('Apartment Tracker'!$L$3:$L$62,B$2)))</f>
        <v/>
      </c>
      <c r="C13" s="28" t="str">
        <f t="array" ref="C13">IF(C$2="","",IF(INDEX('Apartment Tracker'!$L$3:$L$62,C$2)="","",INDEX('Apartment Tracker'!$L$3:$L$62,C$2)))</f>
        <v/>
      </c>
      <c r="D13" s="28" t="str">
        <f t="array" ref="D13">IF(D$2="","",IF(INDEX('Apartment Tracker'!$L$3:$L$62,D$2)="","",INDEX('Apartment Tracker'!$L$3:$L$62,D$2)))</f>
        <v/>
      </c>
      <c r="E13" s="28" t="str">
        <f t="array" ref="E13">IF(E$2="","",IF(INDEX('Apartment Tracker'!$L$3:$L$62,E$2)="","",INDEX('Apartment Tracker'!$L$3:$L$62,E$2)))</f>
        <v/>
      </c>
      <c r="F13" s="28" t="str">
        <f t="array" ref="F13">IF(F$2="","",IF(INDEX('Apartment Tracker'!$L$3:$L$62,F$2)="","",INDEX('Apartment Tracker'!$L$3:$L$62,F$2)))</f>
        <v/>
      </c>
      <c r="G13" s="28" t="str">
        <f t="array" ref="G13">IF(G$2="","",IF(INDEX('Apartment Tracker'!$L$3:$L$62,G$2)="","",INDEX('Apartment Tracker'!$L$3:$L$62,G$2)))</f>
        <v/>
      </c>
      <c r="H13" s="28" t="str">
        <f t="array" ref="H13">IF(H$2="","",IF(INDEX('Apartment Tracker'!$L$3:$L$62,H$2)="","",INDEX('Apartment Tracker'!$L$3:$L$62,H$2)))</f>
        <v/>
      </c>
      <c r="I13" s="28" t="str">
        <f t="array" ref="I13">IF(I$2="","",IF(INDEX('Apartment Tracker'!$L$3:$L$62,I$2)="","",INDEX('Apartment Tracker'!$L$3:$L$62,I$2)))</f>
        <v/>
      </c>
    </row>
    <row r="14">
      <c r="A14" s="20" t="s">
        <v>16</v>
      </c>
      <c r="B14" s="19" t="str">
        <f t="array" ref="B14">IF(B$2="","",IF(INDEX('Apartment Tracker'!$M$3:$M$62,B$2)="","",INDEX('Apartment Tracker'!$M$3:$M$62,B$2)))</f>
        <v/>
      </c>
      <c r="C14" s="19" t="str">
        <f t="array" ref="C14">IF(C$2="","",IF(INDEX('Apartment Tracker'!$M$3:$M$62,C$2)="","",INDEX('Apartment Tracker'!$M$3:$M$62,C$2)))</f>
        <v/>
      </c>
      <c r="D14" s="19" t="str">
        <f t="array" ref="D14">IF(D$2="","",IF(INDEX('Apartment Tracker'!$M$3:$M$62,D$2)="","",INDEX('Apartment Tracker'!$M$3:$M$62,D$2)))</f>
        <v/>
      </c>
      <c r="E14" s="19" t="str">
        <f t="array" ref="E14">IF(E$2="","",IF(INDEX('Apartment Tracker'!$M$3:$M$62,E$2)="","",INDEX('Apartment Tracker'!$M$3:$M$62,E$2)))</f>
        <v/>
      </c>
      <c r="F14" s="19" t="str">
        <f t="array" ref="F14">IF(F$2="","",IF(INDEX('Apartment Tracker'!$M$3:$M$62,F$2)="","",INDEX('Apartment Tracker'!$M$3:$M$62,F$2)))</f>
        <v/>
      </c>
      <c r="G14" s="19" t="str">
        <f t="array" ref="G14">IF(G$2="","",IF(INDEX('Apartment Tracker'!$M$3:$M$62,G$2)="","",INDEX('Apartment Tracker'!$M$3:$M$62,G$2)))</f>
        <v/>
      </c>
      <c r="H14" s="19" t="str">
        <f t="array" ref="H14">IF(H$2="","",IF(INDEX('Apartment Tracker'!$M$3:$M$62,H$2)="","",INDEX('Apartment Tracker'!$M$3:$M$62,H$2)))</f>
        <v/>
      </c>
      <c r="I14" s="19" t="str">
        <f t="array" ref="I14">IF(I$2="","",IF(INDEX('Apartment Tracker'!$M$3:$M$62,I$2)="","",INDEX('Apartment Tracker'!$M$3:$M$62,I$2)))</f>
        <v/>
      </c>
    </row>
    <row r="15">
      <c r="A15" s="20" t="s">
        <v>17</v>
      </c>
      <c r="B15" s="19" t="str">
        <f t="array" ref="B15">IF(B$2="","",IF(INDEX('Apartment Tracker'!$N$3:$N$62,B$2)="","",INDEX('Apartment Tracker'!$N$3:$N$62,B$2)))</f>
        <v/>
      </c>
      <c r="C15" s="19" t="str">
        <f t="array" ref="C15">IF(C$2="","",IF(INDEX('Apartment Tracker'!$N$3:$N$62,C$2)="","",INDEX('Apartment Tracker'!$N$3:$N$62,C$2)))</f>
        <v/>
      </c>
      <c r="D15" s="19" t="str">
        <f t="array" ref="D15">IF(D$2="","",IF(INDEX('Apartment Tracker'!$N$3:$N$62,D$2)="","",INDEX('Apartment Tracker'!$N$3:$N$62,D$2)))</f>
        <v/>
      </c>
      <c r="E15" s="19" t="str">
        <f t="array" ref="E15">IF(E$2="","",IF(INDEX('Apartment Tracker'!$N$3:$N$62,E$2)="","",INDEX('Apartment Tracker'!$N$3:$N$62,E$2)))</f>
        <v/>
      </c>
      <c r="F15" s="19" t="str">
        <f t="array" ref="F15">IF(F$2="","",IF(INDEX('Apartment Tracker'!$N$3:$N$62,F$2)="","",INDEX('Apartment Tracker'!$N$3:$N$62,F$2)))</f>
        <v/>
      </c>
      <c r="G15" s="19" t="str">
        <f t="array" ref="G15">IF(G$2="","",IF(INDEX('Apartment Tracker'!$N$3:$N$62,G$2)="","",INDEX('Apartment Tracker'!$N$3:$N$62,G$2)))</f>
        <v/>
      </c>
      <c r="H15" s="19" t="str">
        <f t="array" ref="H15">IF(H$2="","",IF(INDEX('Apartment Tracker'!$N$3:$N$62,H$2)="","",INDEX('Apartment Tracker'!$N$3:$N$62,H$2)))</f>
        <v/>
      </c>
      <c r="I15" s="19" t="str">
        <f t="array" ref="I15">IF(I$2="","",IF(INDEX('Apartment Tracker'!$N$3:$N$62,I$2)="","",INDEX('Apartment Tracker'!$N$3:$N$62,I$2)))</f>
        <v/>
      </c>
    </row>
    <row r="16">
      <c r="A16" s="20" t="s">
        <v>18</v>
      </c>
      <c r="B16" s="19" t="str">
        <f t="array" ref="B16">IF(B$2="","",IF(INDEX('Apartment Tracker'!$O$3:$O$62,B$2)="","",INDEX('Apartment Tracker'!$O$3:$O$62,B$2)))</f>
        <v/>
      </c>
      <c r="C16" s="19" t="str">
        <f t="array" ref="C16">IF(C$2="","",IF(INDEX('Apartment Tracker'!$O$3:$O$62,C$2)="","",INDEX('Apartment Tracker'!$O$3:$O$62,C$2)))</f>
        <v/>
      </c>
      <c r="D16" s="19" t="str">
        <f t="array" ref="D16">IF(D$2="","",IF(INDEX('Apartment Tracker'!$O$3:$O$62,D$2)="","",INDEX('Apartment Tracker'!$O$3:$O$62,D$2)))</f>
        <v/>
      </c>
      <c r="E16" s="19" t="str">
        <f t="array" ref="E16">IF(E$2="","",IF(INDEX('Apartment Tracker'!$O$3:$O$62,E$2)="","",INDEX('Apartment Tracker'!$O$3:$O$62,E$2)))</f>
        <v/>
      </c>
      <c r="F16" s="19" t="str">
        <f t="array" ref="F16">IF(F$2="","",IF(INDEX('Apartment Tracker'!$O$3:$O$62,F$2)="","",INDEX('Apartment Tracker'!$O$3:$O$62,F$2)))</f>
        <v/>
      </c>
      <c r="G16" s="19" t="str">
        <f t="array" ref="G16">IF(G$2="","",IF(INDEX('Apartment Tracker'!$O$3:$O$62,G$2)="","",INDEX('Apartment Tracker'!$O$3:$O$62,G$2)))</f>
        <v/>
      </c>
      <c r="H16" s="19" t="str">
        <f t="array" ref="H16">IF(H$2="","",IF(INDEX('Apartment Tracker'!$O$3:$O$62,H$2)="","",INDEX('Apartment Tracker'!$O$3:$O$62,H$2)))</f>
        <v/>
      </c>
      <c r="I16" s="19" t="str">
        <f t="array" ref="I16">IF(I$2="","",IF(INDEX('Apartment Tracker'!$O$3:$O$62,I$2)="","",INDEX('Apartment Tracker'!$O$3:$O$62,I$2)))</f>
        <v/>
      </c>
    </row>
    <row r="17">
      <c r="A17" s="20" t="s">
        <v>19</v>
      </c>
      <c r="B17" s="19" t="str">
        <f t="array" ref="B17">IF(B$2="","",IF(INDEX('Apartment Tracker'!$P$3:$P$62,B$2)="","",INDEX('Apartment Tracker'!$P$3:$P$62,B$2)))</f>
        <v/>
      </c>
      <c r="C17" s="19" t="str">
        <f t="array" ref="C17">IF(C$2="","",IF(INDEX('Apartment Tracker'!$P$3:$P$62,C$2)="","",INDEX('Apartment Tracker'!$P$3:$P$62,C$2)))</f>
        <v/>
      </c>
      <c r="D17" s="19" t="str">
        <f t="array" ref="D17">IF(D$2="","",IF(INDEX('Apartment Tracker'!$P$3:$P$62,D$2)="","",INDEX('Apartment Tracker'!$P$3:$P$62,D$2)))</f>
        <v/>
      </c>
      <c r="E17" s="19" t="str">
        <f t="array" ref="E17">IF(E$2="","",IF(INDEX('Apartment Tracker'!$P$3:$P$62,E$2)="","",INDEX('Apartment Tracker'!$P$3:$P$62,E$2)))</f>
        <v/>
      </c>
      <c r="F17" s="19" t="str">
        <f t="array" ref="F17">IF(F$2="","",IF(INDEX('Apartment Tracker'!$P$3:$P$62,F$2)="","",INDEX('Apartment Tracker'!$P$3:$P$62,F$2)))</f>
        <v/>
      </c>
      <c r="G17" s="19" t="str">
        <f t="array" ref="G17">IF(G$2="","",IF(INDEX('Apartment Tracker'!$P$3:$P$62,G$2)="","",INDEX('Apartment Tracker'!$P$3:$P$62,G$2)))</f>
        <v/>
      </c>
      <c r="H17" s="19" t="str">
        <f t="array" ref="H17">IF(H$2="","",IF(INDEX('Apartment Tracker'!$P$3:$P$62,H$2)="","",INDEX('Apartment Tracker'!$P$3:$P$62,H$2)))</f>
        <v/>
      </c>
      <c r="I17" s="19" t="str">
        <f t="array" ref="I17">IF(I$2="","",IF(INDEX('Apartment Tracker'!$P$3:$P$62,I$2)="","",INDEX('Apartment Tracker'!$P$3:$P$62,I$2)))</f>
        <v/>
      </c>
    </row>
    <row r="18">
      <c r="A18" s="20" t="s">
        <v>20</v>
      </c>
      <c r="B18" s="29" t="str">
        <f t="array" ref="B18">IF(B$2="","",IF(INDEX('Apartment Tracker'!$Q$3:$Q$62,B$2)="","",INDEX('Apartment Tracker'!$Q$3:$Q$62,B$2)))</f>
        <v/>
      </c>
      <c r="C18" s="29" t="str">
        <f t="array" ref="C18">IF(C$2="","",IF(INDEX('Apartment Tracker'!$Q$3:$Q$62,C$2)="","",INDEX('Apartment Tracker'!$Q$3:$Q$62,C$2)))</f>
        <v/>
      </c>
      <c r="D18" s="29" t="str">
        <f t="array" ref="D18">IF(D$2="","",IF(INDEX('Apartment Tracker'!$Q$3:$Q$62,D$2)="","",INDEX('Apartment Tracker'!$Q$3:$Q$62,D$2)))</f>
        <v/>
      </c>
      <c r="E18" s="29" t="str">
        <f t="array" ref="E18">IF(E$2="","",IF(INDEX('Apartment Tracker'!$Q$3:$Q$62,E$2)="","",INDEX('Apartment Tracker'!$Q$3:$Q$62,E$2)))</f>
        <v/>
      </c>
      <c r="F18" s="29" t="str">
        <f t="array" ref="F18">IF(F$2="","",IF(INDEX('Apartment Tracker'!$Q$3:$Q$62,F$2)="","",INDEX('Apartment Tracker'!$Q$3:$Q$62,F$2)))</f>
        <v/>
      </c>
      <c r="G18" s="29" t="str">
        <f t="array" ref="G18">IF(G$2="","",IF(INDEX('Apartment Tracker'!$Q$3:$Q$62,G$2)="","",INDEX('Apartment Tracker'!$Q$3:$Q$62,G$2)))</f>
        <v/>
      </c>
      <c r="H18" s="29" t="str">
        <f t="array" ref="H18">IF(H$2="","",IF(INDEX('Apartment Tracker'!$Q$3:$Q$62,H$2)="","",INDEX('Apartment Tracker'!$Q$3:$Q$62,H$2)))</f>
        <v/>
      </c>
      <c r="I18" s="29" t="str">
        <f t="array" ref="I18">IF(I$2="","",IF(INDEX('Apartment Tracker'!$Q$3:$Q$62,I$2)="","",INDEX('Apartment Tracker'!$Q$3:$Q$62,I$2)))</f>
        <v/>
      </c>
    </row>
    <row r="19">
      <c r="A19" s="20" t="s">
        <v>21</v>
      </c>
      <c r="B19" s="30" t="str">
        <f t="array" ref="B19">IF(B$2="","",IF(INDEX('Apartment Tracker'!$R$3:$R$62,B$2)="","",INDEX('Apartment Tracker'!$R$3:$R$62,B$2)))</f>
        <v/>
      </c>
      <c r="C19" s="30" t="str">
        <f t="array" ref="C19">IF(C$2="","",IF(INDEX('Apartment Tracker'!$R$3:$R$62,C$2)="","",INDEX('Apartment Tracker'!$R$3:$R$62,C$2)))</f>
        <v/>
      </c>
      <c r="D19" s="30" t="str">
        <f t="array" ref="D19">IF(D$2="","",IF(INDEX('Apartment Tracker'!$R$3:$R$62,D$2)="","",INDEX('Apartment Tracker'!$R$3:$R$62,D$2)))</f>
        <v/>
      </c>
      <c r="E19" s="30" t="str">
        <f t="array" ref="E19">IF(E$2="","",IF(INDEX('Apartment Tracker'!$R$3:$R$62,E$2)="","",INDEX('Apartment Tracker'!$R$3:$R$62,E$2)))</f>
        <v/>
      </c>
      <c r="F19" s="30" t="str">
        <f t="array" ref="F19">IF(F$2="","",IF(INDEX('Apartment Tracker'!$R$3:$R$62,F$2)="","",INDEX('Apartment Tracker'!$R$3:$R$62,F$2)))</f>
        <v/>
      </c>
      <c r="G19" s="30" t="str">
        <f t="array" ref="G19">IF(G$2="","",IF(INDEX('Apartment Tracker'!$R$3:$R$62,G$2)="","",INDEX('Apartment Tracker'!$R$3:$R$62,G$2)))</f>
        <v/>
      </c>
      <c r="H19" s="30" t="str">
        <f t="array" ref="H19">IF(H$2="","",IF(INDEX('Apartment Tracker'!$R$3:$R$62,H$2)="","",INDEX('Apartment Tracker'!$R$3:$R$62,H$2)))</f>
        <v/>
      </c>
      <c r="I19" s="30" t="str">
        <f t="array" ref="I19">IF(I$2="","",IF(INDEX('Apartment Tracker'!$R$3:$R$62,I$2)="","",INDEX('Apartment Tracker'!$R$3:$R$62,I$2)))</f>
        <v/>
      </c>
    </row>
    <row r="20">
      <c r="A20" s="20" t="s">
        <v>22</v>
      </c>
      <c r="B20" s="19" t="str">
        <f t="array" ref="B20">IF(B$2="","",IF(INDEX('Apartment Tracker'!$S$3:$S$62,B$2)="","",INDEX('Apartment Tracker'!$S$3:$S$62,B$2)))</f>
        <v/>
      </c>
      <c r="C20" s="19" t="str">
        <f t="array" ref="C20">IF(C$2="","",IF(INDEX('Apartment Tracker'!$S$3:$S$62,C$2)="","",INDEX('Apartment Tracker'!$S$3:$S$62,C$2)))</f>
        <v/>
      </c>
      <c r="D20" s="19" t="str">
        <f t="array" ref="D20">IF(D$2="","",IF(INDEX('Apartment Tracker'!$S$3:$S$62,D$2)="","",INDEX('Apartment Tracker'!$S$3:$S$62,D$2)))</f>
        <v/>
      </c>
      <c r="E20" s="19" t="str">
        <f t="array" ref="E20">IF(E$2="","",IF(INDEX('Apartment Tracker'!$S$3:$S$62,E$2)="","",INDEX('Apartment Tracker'!$S$3:$S$62,E$2)))</f>
        <v/>
      </c>
      <c r="F20" s="19" t="str">
        <f t="array" ref="F20">IF(F$2="","",IF(INDEX('Apartment Tracker'!$S$3:$S$62,F$2)="","",INDEX('Apartment Tracker'!$S$3:$S$62,F$2)))</f>
        <v/>
      </c>
      <c r="G20" s="19" t="str">
        <f t="array" ref="G20">IF(G$2="","",IF(INDEX('Apartment Tracker'!$S$3:$S$62,G$2)="","",INDEX('Apartment Tracker'!$S$3:$S$62,G$2)))</f>
        <v/>
      </c>
      <c r="H20" s="19" t="str">
        <f t="array" ref="H20">IF(H$2="","",IF(INDEX('Apartment Tracker'!$S$3:$S$62,H$2)="","",INDEX('Apartment Tracker'!$S$3:$S$62,H$2)))</f>
        <v/>
      </c>
      <c r="I20" s="19" t="str">
        <f t="array" ref="I20">IF(I$2="","",IF(INDEX('Apartment Tracker'!$S$3:$S$62,I$2)="","",INDEX('Apartment Tracker'!$S$3:$S$62,I$2)))</f>
        <v/>
      </c>
    </row>
    <row r="21" ht="15.75" customHeight="1">
      <c r="A21" s="20" t="s">
        <v>23</v>
      </c>
      <c r="B21" s="19" t="str">
        <f t="array" ref="B21">IF(B$2="","",IF(INDEX('Apartment Tracker'!$T$3:$T$62,B$2)="","",INDEX('Apartment Tracker'!$T$3:$T$62,B$2)))</f>
        <v/>
      </c>
      <c r="C21" s="19" t="str">
        <f t="array" ref="C21">IF(C$2="","",IF(INDEX('Apartment Tracker'!$T$3:$T$62,C$2)="","",INDEX('Apartment Tracker'!$T$3:$T$62,C$2)))</f>
        <v/>
      </c>
      <c r="D21" s="19" t="str">
        <f t="array" ref="D21">IF(D$2="","",IF(INDEX('Apartment Tracker'!$T$3:$T$62,D$2)="","",INDEX('Apartment Tracker'!$T$3:$T$62,D$2)))</f>
        <v/>
      </c>
      <c r="E21" s="19" t="str">
        <f t="array" ref="E21">IF(E$2="","",IF(INDEX('Apartment Tracker'!$T$3:$T$62,E$2)="","",INDEX('Apartment Tracker'!$T$3:$T$62,E$2)))</f>
        <v/>
      </c>
      <c r="F21" s="19" t="str">
        <f t="array" ref="F21">IF(F$2="","",IF(INDEX('Apartment Tracker'!$T$3:$T$62,F$2)="","",INDEX('Apartment Tracker'!$T$3:$T$62,F$2)))</f>
        <v/>
      </c>
      <c r="G21" s="19" t="str">
        <f t="array" ref="G21">IF(G$2="","",IF(INDEX('Apartment Tracker'!$T$3:$T$62,G$2)="","",INDEX('Apartment Tracker'!$T$3:$T$62,G$2)))</f>
        <v/>
      </c>
      <c r="H21" s="19" t="str">
        <f t="array" ref="H21">IF(H$2="","",IF(INDEX('Apartment Tracker'!$T$3:$T$62,H$2)="","",INDEX('Apartment Tracker'!$T$3:$T$62,H$2)))</f>
        <v/>
      </c>
      <c r="I21" s="19" t="str">
        <f t="array" ref="I21">IF(I$2="","",IF(INDEX('Apartment Tracker'!$T$3:$T$62,I$2)="","",INDEX('Apartment Tracker'!$T$3:$T$62,I$2)))</f>
        <v/>
      </c>
    </row>
    <row r="22" ht="15.75" customHeight="1">
      <c r="A22" s="20" t="s">
        <v>24</v>
      </c>
      <c r="B22" s="19" t="str">
        <f t="array" ref="B22">IF(B$2="","",IF(INDEX('Apartment Tracker'!$U$3:$U$62,B$2)="","",INDEX('Apartment Tracker'!$U$3:$U$62,B$2)))</f>
        <v/>
      </c>
      <c r="C22" s="19" t="str">
        <f t="array" ref="C22">IF(C$2="","",IF(INDEX('Apartment Tracker'!$U$3:$U$62,C$2)="","",INDEX('Apartment Tracker'!$U$3:$U$62,C$2)))</f>
        <v/>
      </c>
      <c r="D22" s="19" t="str">
        <f t="array" ref="D22">IF(D$2="","",IF(INDEX('Apartment Tracker'!$U$3:$U$62,D$2)="","",INDEX('Apartment Tracker'!$U$3:$U$62,D$2)))</f>
        <v/>
      </c>
      <c r="E22" s="19" t="str">
        <f t="array" ref="E22">IF(E$2="","",IF(INDEX('Apartment Tracker'!$U$3:$U$62,E$2)="","",INDEX('Apartment Tracker'!$U$3:$U$62,E$2)))</f>
        <v/>
      </c>
      <c r="F22" s="19" t="str">
        <f t="array" ref="F22">IF(F$2="","",IF(INDEX('Apartment Tracker'!$U$3:$U$62,F$2)="","",INDEX('Apartment Tracker'!$U$3:$U$62,F$2)))</f>
        <v/>
      </c>
      <c r="G22" s="19" t="str">
        <f t="array" ref="G22">IF(G$2="","",IF(INDEX('Apartment Tracker'!$U$3:$U$62,G$2)="","",INDEX('Apartment Tracker'!$U$3:$U$62,G$2)))</f>
        <v/>
      </c>
      <c r="H22" s="19" t="str">
        <f t="array" ref="H22">IF(H$2="","",IF(INDEX('Apartment Tracker'!$U$3:$U$62,H$2)="","",INDEX('Apartment Tracker'!$U$3:$U$62,H$2)))</f>
        <v/>
      </c>
      <c r="I22" s="19" t="str">
        <f t="array" ref="I22">IF(I$2="","",IF(INDEX('Apartment Tracker'!$U$3:$U$62,I$2)="","",INDEX('Apartment Tracker'!$U$3:$U$62,I$2)))</f>
        <v/>
      </c>
    </row>
    <row r="23" ht="15.75" customHeight="1">
      <c r="A23" s="20" t="s">
        <v>25</v>
      </c>
      <c r="B23" s="19" t="str">
        <f t="array" ref="B23">IF(B$2="","",IF(INDEX('Apartment Tracker'!$V$3:$V$62,B$2)="","",INDEX('Apartment Tracker'!$V$3:$V$62,B$2)))</f>
        <v/>
      </c>
      <c r="C23" s="19" t="str">
        <f t="array" ref="C23">IF(C$2="","",IF(INDEX('Apartment Tracker'!$V$3:$V$62,C$2)="","",INDEX('Apartment Tracker'!$V$3:$V$62,C$2)))</f>
        <v/>
      </c>
      <c r="D23" s="19" t="str">
        <f t="array" ref="D23">IF(D$2="","",IF(INDEX('Apartment Tracker'!$V$3:$V$62,D$2)="","",INDEX('Apartment Tracker'!$V$3:$V$62,D$2)))</f>
        <v/>
      </c>
      <c r="E23" s="19" t="str">
        <f t="array" ref="E23">IF(E$2="","",IF(INDEX('Apartment Tracker'!$V$3:$V$62,E$2)="","",INDEX('Apartment Tracker'!$V$3:$V$62,E$2)))</f>
        <v/>
      </c>
      <c r="F23" s="19" t="str">
        <f t="array" ref="F23">IF(F$2="","",IF(INDEX('Apartment Tracker'!$V$3:$V$62,F$2)="","",INDEX('Apartment Tracker'!$V$3:$V$62,F$2)))</f>
        <v/>
      </c>
      <c r="G23" s="19" t="str">
        <f t="array" ref="G23">IF(G$2="","",IF(INDEX('Apartment Tracker'!$V$3:$V$62,G$2)="","",INDEX('Apartment Tracker'!$V$3:$V$62,G$2)))</f>
        <v/>
      </c>
      <c r="H23" s="19" t="str">
        <f t="array" ref="H23">IF(H$2="","",IF(INDEX('Apartment Tracker'!$V$3:$V$62,H$2)="","",INDEX('Apartment Tracker'!$V$3:$V$62,H$2)))</f>
        <v/>
      </c>
      <c r="I23" s="19" t="str">
        <f t="array" ref="I23">IF(I$2="","",IF(INDEX('Apartment Tracker'!$V$3:$V$62,I$2)="","",INDEX('Apartment Tracker'!$V$3:$V$62,I$2)))</f>
        <v/>
      </c>
    </row>
    <row r="24" ht="15.75" customHeight="1">
      <c r="A24" s="20" t="s">
        <v>26</v>
      </c>
      <c r="B24" s="19" t="str">
        <f t="array" ref="B24">IF(B$2="","",IF(INDEX('Apartment Tracker'!$W$3:$W$62,B$2)="","",INDEX('Apartment Tracker'!$W$3:$W$62,B$2)))</f>
        <v/>
      </c>
      <c r="C24" s="19" t="str">
        <f t="array" ref="C24">IF(C$2="","",IF(INDEX('Apartment Tracker'!$W$3:$W$62,C$2)="","",INDEX('Apartment Tracker'!$W$3:$W$62,C$2)))</f>
        <v/>
      </c>
      <c r="D24" s="19" t="str">
        <f t="array" ref="D24">IF(D$2="","",IF(INDEX('Apartment Tracker'!$W$3:$W$62,D$2)="","",INDEX('Apartment Tracker'!$W$3:$W$62,D$2)))</f>
        <v/>
      </c>
      <c r="E24" s="19" t="str">
        <f t="array" ref="E24">IF(E$2="","",IF(INDEX('Apartment Tracker'!$W$3:$W$62,E$2)="","",INDEX('Apartment Tracker'!$W$3:$W$62,E$2)))</f>
        <v/>
      </c>
      <c r="F24" s="19" t="str">
        <f t="array" ref="F24">IF(F$2="","",IF(INDEX('Apartment Tracker'!$W$3:$W$62,F$2)="","",INDEX('Apartment Tracker'!$W$3:$W$62,F$2)))</f>
        <v/>
      </c>
      <c r="G24" s="19" t="str">
        <f t="array" ref="G24">IF(G$2="","",IF(INDEX('Apartment Tracker'!$W$3:$W$62,G$2)="","",INDEX('Apartment Tracker'!$W$3:$W$62,G$2)))</f>
        <v/>
      </c>
      <c r="H24" s="19" t="str">
        <f t="array" ref="H24">IF(H$2="","",IF(INDEX('Apartment Tracker'!$W$3:$W$62,H$2)="","",INDEX('Apartment Tracker'!$W$3:$W$62,H$2)))</f>
        <v/>
      </c>
      <c r="I24" s="19" t="str">
        <f t="array" ref="I24">IF(I$2="","",IF(INDEX('Apartment Tracker'!$W$3:$W$62,I$2)="","",INDEX('Apartment Tracker'!$W$3:$W$62,I$2)))</f>
        <v/>
      </c>
    </row>
    <row r="25" ht="15.75" customHeight="1">
      <c r="A25" s="20" t="s">
        <v>27</v>
      </c>
      <c r="B25" s="30" t="str">
        <f t="array" ref="B25">IF(B$2="","",IF(INDEX('Apartment Tracker'!$X$3:$X$62,B$2)="","",INDEX('Apartment Tracker'!$X$3:$X$62,B$2)))</f>
        <v/>
      </c>
      <c r="C25" s="30" t="str">
        <f t="array" ref="C25">IF(C$2="","",IF(INDEX('Apartment Tracker'!$X$3:$X$62,C$2)="","",INDEX('Apartment Tracker'!$X$3:$X$62,C$2)))</f>
        <v/>
      </c>
      <c r="D25" s="30" t="str">
        <f t="array" ref="D25">IF(D$2="","",IF(INDEX('Apartment Tracker'!$X$3:$X$62,D$2)="","",INDEX('Apartment Tracker'!$X$3:$X$62,D$2)))</f>
        <v/>
      </c>
      <c r="E25" s="30" t="str">
        <f t="array" ref="E25">IF(E$2="","",IF(INDEX('Apartment Tracker'!$X$3:$X$62,E$2)="","",INDEX('Apartment Tracker'!$X$3:$X$62,E$2)))</f>
        <v/>
      </c>
      <c r="F25" s="30" t="str">
        <f t="array" ref="F25">IF(F$2="","",IF(INDEX('Apartment Tracker'!$X$3:$X$62,F$2)="","",INDEX('Apartment Tracker'!$X$3:$X$62,F$2)))</f>
        <v/>
      </c>
      <c r="G25" s="30" t="str">
        <f t="array" ref="G25">IF(G$2="","",IF(INDEX('Apartment Tracker'!$X$3:$X$62,G$2)="","",INDEX('Apartment Tracker'!$X$3:$X$62,G$2)))</f>
        <v/>
      </c>
      <c r="H25" s="30" t="str">
        <f t="array" ref="H25">IF(H$2="","",IF(INDEX('Apartment Tracker'!$X$3:$X$62,H$2)="","",INDEX('Apartment Tracker'!$X$3:$X$62,H$2)))</f>
        <v/>
      </c>
      <c r="I25" s="30" t="str">
        <f t="array" ref="I25">IF(I$2="","",IF(INDEX('Apartment Tracker'!$X$3:$X$62,I$2)="","",INDEX('Apartment Tracker'!$X$3:$X$62,I$2)))</f>
        <v/>
      </c>
    </row>
    <row r="26" ht="15.75" customHeight="1">
      <c r="A26" s="20" t="s">
        <v>28</v>
      </c>
      <c r="B26" s="23" t="str">
        <f t="array" ref="B26">IF(B$2="","",IF(INDEX('Apartment Tracker'!$Y$3:$Y$62,B$2)="","",INDEX('Apartment Tracker'!$Y$3:$Y$62,B$2)))</f>
        <v/>
      </c>
      <c r="C26" s="23" t="str">
        <f t="array" ref="C26">IF(C$2="","",IF(INDEX('Apartment Tracker'!$Y$3:$Y$62,C$2)="","",INDEX('Apartment Tracker'!$Y$3:$Y$62,C$2)))</f>
        <v/>
      </c>
      <c r="D26" s="23" t="str">
        <f t="array" ref="D26">IF(D$2="","",IF(INDEX('Apartment Tracker'!$Y$3:$Y$62,D$2)="","",INDEX('Apartment Tracker'!$Y$3:$Y$62,D$2)))</f>
        <v/>
      </c>
      <c r="E26" s="23" t="str">
        <f t="array" ref="E26">IF(E$2="","",IF(INDEX('Apartment Tracker'!$Y$3:$Y$62,E$2)="","",INDEX('Apartment Tracker'!$Y$3:$Y$62,E$2)))</f>
        <v/>
      </c>
      <c r="F26" s="23" t="str">
        <f t="array" ref="F26">IF(F$2="","",IF(INDEX('Apartment Tracker'!$Y$3:$Y$62,F$2)="","",INDEX('Apartment Tracker'!$Y$3:$Y$62,F$2)))</f>
        <v/>
      </c>
      <c r="G26" s="23" t="str">
        <f t="array" ref="G26">IF(G$2="","",IF(INDEX('Apartment Tracker'!$Y$3:$Y$62,G$2)="","",INDEX('Apartment Tracker'!$Y$3:$Y$62,G$2)))</f>
        <v/>
      </c>
      <c r="H26" s="23" t="str">
        <f t="array" ref="H26">IF(H$2="","",IF(INDEX('Apartment Tracker'!$Y$3:$Y$62,H$2)="","",INDEX('Apartment Tracker'!$Y$3:$Y$62,H$2)))</f>
        <v/>
      </c>
      <c r="I26" s="23" t="str">
        <f t="array" ref="I26">IF(I$2="","",IF(INDEX('Apartment Tracker'!$Y$3:$Y$62,I$2)="","",INDEX('Apartment Tracker'!$Y$3:$Y$62,I$2)))</f>
        <v/>
      </c>
    </row>
    <row r="27" ht="15.75" customHeight="1">
      <c r="A27" s="20" t="s">
        <v>29</v>
      </c>
      <c r="B27" s="23" t="str">
        <f t="array" ref="B27">IF(B$2="","",IF(INDEX('Apartment Tracker'!$Z$3:$Z$62,B$2)="","",INDEX('Apartment Tracker'!$Z$3:$Z$62,B$2)))</f>
        <v/>
      </c>
      <c r="C27" s="23" t="str">
        <f t="array" ref="C27">IF(C$2="","",IF(INDEX('Apartment Tracker'!$Z$3:$Z$62,C$2)="","",INDEX('Apartment Tracker'!$Z$3:$Z$62,C$2)))</f>
        <v/>
      </c>
      <c r="D27" s="23" t="str">
        <f t="array" ref="D27">IF(D$2="","",IF(INDEX('Apartment Tracker'!$Z$3:$Z$62,D$2)="","",INDEX('Apartment Tracker'!$Z$3:$Z$62,D$2)))</f>
        <v/>
      </c>
      <c r="E27" s="23" t="str">
        <f t="array" ref="E27">IF(E$2="","",IF(INDEX('Apartment Tracker'!$Z$3:$Z$62,E$2)="","",INDEX('Apartment Tracker'!$Z$3:$Z$62,E$2)))</f>
        <v/>
      </c>
      <c r="F27" s="23" t="str">
        <f t="array" ref="F27">IF(F$2="","",IF(INDEX('Apartment Tracker'!$Z$3:$Z$62,F$2)="","",INDEX('Apartment Tracker'!$Z$3:$Z$62,F$2)))</f>
        <v/>
      </c>
      <c r="G27" s="23" t="str">
        <f t="array" ref="G27">IF(G$2="","",IF(INDEX('Apartment Tracker'!$Z$3:$Z$62,G$2)="","",INDEX('Apartment Tracker'!$Z$3:$Z$62,G$2)))</f>
        <v/>
      </c>
      <c r="H27" s="23" t="str">
        <f t="array" ref="H27">IF(H$2="","",IF(INDEX('Apartment Tracker'!$Z$3:$Z$62,H$2)="","",INDEX('Apartment Tracker'!$Z$3:$Z$62,H$2)))</f>
        <v/>
      </c>
      <c r="I27" s="23" t="str">
        <f t="array" ref="I27">IF(I$2="","",IF(INDEX('Apartment Tracker'!$Z$3:$Z$62,I$2)="","",INDEX('Apartment Tracker'!$Z$3:$Z$62,I$2)))</f>
        <v/>
      </c>
    </row>
    <row r="28" ht="15.75" customHeight="1">
      <c r="A28" s="20" t="s">
        <v>30</v>
      </c>
      <c r="B28" s="23" t="str">
        <f t="array" ref="B28">IF(B$2="","",IF(INDEX('Apartment Tracker'!$AA$3:$AA$62,B$2)="","",INDEX('Apartment Tracker'!$AA$3:$AA$62,B$2)))</f>
        <v/>
      </c>
      <c r="C28" s="23" t="str">
        <f t="array" ref="C28">IF(C$2="","",IF(INDEX('Apartment Tracker'!$AA$3:$AA$62,C$2)="","",INDEX('Apartment Tracker'!$AA$3:$AA$62,C$2)))</f>
        <v/>
      </c>
      <c r="D28" s="23" t="str">
        <f t="array" ref="D28">IF(D$2="","",IF(INDEX('Apartment Tracker'!$AA$3:$AA$62,D$2)="","",INDEX('Apartment Tracker'!$AA$3:$AA$62,D$2)))</f>
        <v/>
      </c>
      <c r="E28" s="23" t="str">
        <f t="array" ref="E28">IF(E$2="","",IF(INDEX('Apartment Tracker'!$AA$3:$AA$62,E$2)="","",INDEX('Apartment Tracker'!$AA$3:$AA$62,E$2)))</f>
        <v/>
      </c>
      <c r="F28" s="23" t="str">
        <f t="array" ref="F28">IF(F$2="","",IF(INDEX('Apartment Tracker'!$AA$3:$AA$62,F$2)="","",INDEX('Apartment Tracker'!$AA$3:$AA$62,F$2)))</f>
        <v/>
      </c>
      <c r="G28" s="23" t="str">
        <f t="array" ref="G28">IF(G$2="","",IF(INDEX('Apartment Tracker'!$AA$3:$AA$62,G$2)="","",INDEX('Apartment Tracker'!$AA$3:$AA$62,G$2)))</f>
        <v/>
      </c>
      <c r="H28" s="23" t="str">
        <f t="array" ref="H28">IF(H$2="","",IF(INDEX('Apartment Tracker'!$AA$3:$AA$62,H$2)="","",INDEX('Apartment Tracker'!$AA$3:$AA$62,H$2)))</f>
        <v/>
      </c>
      <c r="I28" s="23" t="str">
        <f t="array" ref="I28">IF(I$2="","",IF(INDEX('Apartment Tracker'!$AA$3:$AA$62,I$2)="","",INDEX('Apartment Tracker'!$AA$3:$AA$62,I$2)))</f>
        <v/>
      </c>
    </row>
    <row r="29" ht="15.75" customHeight="1"/>
    <row r="30" ht="15.75" customHeight="1">
      <c r="A30" s="3" t="s">
        <v>74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